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F:\Engineering 2nd year\Extracurriculars\1. DEPI\Final Project\Excel\"/>
    </mc:Choice>
  </mc:AlternateContent>
  <xr:revisionPtr revIDLastSave="0" documentId="13_ncr:1_{5D00D50A-3DD6-417A-8A4C-B63AFF249C8F}" xr6:coauthVersionLast="47" xr6:coauthVersionMax="47" xr10:uidLastSave="{00000000-0000-0000-0000-000000000000}"/>
  <bookViews>
    <workbookView xWindow="-120" yWindow="-120" windowWidth="20730" windowHeight="11760" tabRatio="737" firstSheet="1" activeTab="3" xr2:uid="{FEA2879F-555D-4A48-881E-D627BA09B4B3}"/>
  </bookViews>
  <sheets>
    <sheet name="Dim_Time" sheetId="12" r:id="rId1"/>
    <sheet name="PVT" sheetId="22" r:id="rId2"/>
    <sheet name="PVT_Charts" sheetId="24" r:id="rId3"/>
    <sheet name="Dashboard" sheetId="23" r:id="rId4"/>
    <sheet name="Fact_Financials_Master" sheetId="7" r:id="rId5"/>
    <sheet name="Oil_Prices_Avg_Qtr" sheetId="8" r:id="rId6"/>
    <sheet name="covid_19_clean_complete" sheetId="11" r:id="rId7"/>
  </sheets>
  <definedNames>
    <definedName name="ExternalData_7" localSheetId="4" hidden="1">Fact_Financials_Master!$A$1:$J$561</definedName>
    <definedName name="ExternalData_7" localSheetId="5" hidden="1">Oil_Prices_Avg_Qtr!$A$1:$C$57</definedName>
    <definedName name="ExternalData_8" localSheetId="6" hidden="1">'covid_19_clean_complete'!$A$1:$B$4</definedName>
    <definedName name="ExternalData_8" localSheetId="0" hidden="1">Dim_Time!$A$1:$C$57</definedName>
    <definedName name="Slicer_Airline_Name">#N/A</definedName>
    <definedName name="Slicer_CARES_FLAG">#N/A</definedName>
    <definedName name="Slicer_Year">#N/A</definedName>
  </definedNames>
  <calcPr calcId="191029"/>
  <pivotCaches>
    <pivotCache cacheId="143" r:id="rId8"/>
    <pivotCache cacheId="163" r:id="rId9"/>
    <pivotCache cacheId="229" r:id="rId10"/>
    <pivotCache cacheId="232" r:id="rId11"/>
    <pivotCache cacheId="235" r:id="rId12"/>
    <pivotCache cacheId="238" r:id="rId13"/>
    <pivotCache cacheId="241" r:id="rId14"/>
    <pivotCache cacheId="244" r:id="rId15"/>
    <pivotCache cacheId="247" r:id="rId16"/>
    <pivotCache cacheId="250" r:id="rId17"/>
    <pivotCache cacheId="253" r:id="rId18"/>
    <pivotCache cacheId="256" r:id="rId19"/>
    <pivotCache cacheId="262" r:id="rId20"/>
  </pivotCaches>
  <extLst>
    <ext xmlns:x14="http://schemas.microsoft.com/office/spreadsheetml/2009/9/main" uri="{876F7934-8845-4945-9796-88D515C7AA90}">
      <x14:pivotCaches>
        <pivotCache cacheId="88" r:id="rId21"/>
      </x14:pivotCaches>
    </ext>
    <ext xmlns:x14="http://schemas.microsoft.com/office/spreadsheetml/2009/9/main" uri="{BBE1A952-AA13-448e-AADC-164F8A28A991}">
      <x14:slicerCaches>
        <x14:slicerCache r:id="rId22"/>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Oil_Price_Qtr_Avg_10fddc18-fda8-41e0-a2ca-6b6c66958246" name="Oil_Price_Qtr_Avg" connection="Query - Oil_Price_Qtr_Avg"/>
          <x15:modelTable id="covid_19_clean_complete_fd241c08-ffdf-48be-b9ac-1def3fbdce59" name="covid_19_clean_complete" connection="Query - covid_19_clean_complete"/>
          <x15:modelTable id="Fact_Financials_Master 1_091cfc34-7916-4565-b410-95407e1e19f5" name="Fact_Financials_Master 1" connection="Query - Fact_Financials_Master"/>
          <x15:modelTable id="Dim_Time 1_6778986a-5e3a-490b-84cf-5b6f3d13aa47" name="Dim_Time 1" connection="Query - Dim_Time"/>
        </x15:modelTables>
        <x15:modelRelationships>
          <x15:modelRelationship fromTable="Oil_Price_Qtr_Avg" fromColumn="Date_Key" toTable="Dim_Time 1" toColumn="Date_Key"/>
          <x15:modelRelationship fromTable="covid_19_clean_complete" fromColumn="Date_Key" toTable="Dim_Time 1" toColumn="Date_Key"/>
          <x15:modelRelationship fromTable="Fact_Financials_Master 1" fromColumn="Date_Key" toTable="Dim_Time 1" toColumn="Date_Key"/>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215" i="2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49418AE-55C3-40CD-9397-C1335BC4949E}" keepAlive="1" name="ModelConnection_ExternalData_7" description="Data Model" type="5" refreshedVersion="8" minRefreshableVersion="5" saveData="1">
    <dbPr connection="Data Model Connection" command="Oil_Price_Qtr_Avg" commandType="3"/>
    <extLst>
      <ext xmlns:x15="http://schemas.microsoft.com/office/spreadsheetml/2010/11/main" uri="{DE250136-89BD-433C-8126-D09CA5730AF9}">
        <x15:connection id="" model="1"/>
      </ext>
    </extLst>
  </connection>
  <connection id="2" xr16:uid="{33F0BB23-A1B0-4E7B-A4F8-DFBC0916314F}" keepAlive="1" name="ModelConnection_ExternalData_71" description="Data Model" type="5" refreshedVersion="8" minRefreshableVersion="5" saveData="1">
    <dbPr connection="Data Model Connection" command="Fact_Financials_Master 1" commandType="3"/>
    <extLst>
      <ext xmlns:x15="http://schemas.microsoft.com/office/spreadsheetml/2010/11/main" uri="{DE250136-89BD-433C-8126-D09CA5730AF9}">
        <x15:connection id="" model="1"/>
      </ext>
    </extLst>
  </connection>
  <connection id="3" xr16:uid="{CFE56629-CD2B-4D1F-8277-5C42C54C48DA}" keepAlive="1" name="ModelConnection_ExternalData_8" description="Data Model" type="5" refreshedVersion="8" minRefreshableVersion="5" saveData="1">
    <dbPr connection="Data Model Connection" command="covid_19_clean_complete" commandType="3"/>
    <extLst>
      <ext xmlns:x15="http://schemas.microsoft.com/office/spreadsheetml/2010/11/main" uri="{DE250136-89BD-433C-8126-D09CA5730AF9}">
        <x15:connection id="" model="1"/>
      </ext>
    </extLst>
  </connection>
  <connection id="4" xr16:uid="{6878FC10-6DDA-459F-B4BD-6DF068978F18}" keepAlive="1" name="ModelConnection_ExternalData_81" description="Data Model" type="5" refreshedVersion="8" minRefreshableVersion="5" saveData="1">
    <dbPr connection="Data Model Connection" command="Dim_Time 1" commandType="3"/>
    <extLst>
      <ext xmlns:x15="http://schemas.microsoft.com/office/spreadsheetml/2010/11/main" uri="{DE250136-89BD-433C-8126-D09CA5730AF9}">
        <x15:connection id="" model="1"/>
      </ext>
    </extLst>
  </connection>
  <connection id="5" xr16:uid="{9A2537AE-DC6E-4845-A7EA-A6A1FD5B6317}" name="Query - covid_19_clean_complete" description="Connection to the 'covid_19_clean_complete' query in the workbook." type="100" refreshedVersion="8" minRefreshableVersion="5">
    <extLst>
      <ext xmlns:x15="http://schemas.microsoft.com/office/spreadsheetml/2010/11/main" uri="{DE250136-89BD-433C-8126-D09CA5730AF9}">
        <x15:connection id="74a59c8a-c4ed-4dea-b182-11f1f88e09e8"/>
      </ext>
    </extLst>
  </connection>
  <connection id="6" xr16:uid="{DEAF3271-31D4-4EEA-9A24-968120E0C4C1}" name="Query - Dim_Time" description="Connection to the 'Dim_Time' query in the workbook." type="100" refreshedVersion="8" minRefreshableVersion="5">
    <extLst>
      <ext xmlns:x15="http://schemas.microsoft.com/office/spreadsheetml/2010/11/main" uri="{DE250136-89BD-433C-8126-D09CA5730AF9}">
        <x15:connection id="c93d37c4-78c0-40c8-b7e1-79813b6adf24"/>
      </ext>
    </extLst>
  </connection>
  <connection id="7" xr16:uid="{00AB7309-6633-4B6A-A3CE-18258BB82F21}" name="Query - Fact_Financials_Master" description="Connection to the 'Fact_Financials_Master' query in the workbook." type="100" refreshedVersion="8" minRefreshableVersion="5">
    <extLst>
      <ext xmlns:x15="http://schemas.microsoft.com/office/spreadsheetml/2010/11/main" uri="{DE250136-89BD-433C-8126-D09CA5730AF9}">
        <x15:connection id="1b3f9aeb-0e95-4ff7-8832-18a941a3f7ae"/>
      </ext>
    </extLst>
  </connection>
  <connection id="8" xr16:uid="{0EA53AEB-18EF-4E11-89C9-F6AA576B2C97}" keepAlive="1" name="Query - Fuel_Costs" description="Connection to the 'Fuel_Costs' query in the workbook." type="5" refreshedVersion="8" background="1" saveData="1">
    <dbPr connection="Provider=Microsoft.Mashup.OleDb.1;Data Source=$Workbook$;Location=Fuel_Costs;Extended Properties=&quot;&quot;" command="SELECT * FROM [Fuel_Costs]"/>
  </connection>
  <connection id="9" xr16:uid="{AB99FF64-E9B1-47B7-8ACE-77F204792249}" keepAlive="1" name="Query - Load_Factor" description="Connection to the 'Load_Factor' query in the workbook." type="5" refreshedVersion="8" background="1" saveData="1">
    <dbPr connection="Provider=Microsoft.Mashup.OleDb.1;Data Source=$Workbook$;Location=Load_Factor;Extended Properties=&quot;&quot;" command="SELECT * FROM [Load_Factor]"/>
  </connection>
  <connection id="10" xr16:uid="{81A50E79-CB7A-467E-9D2E-95ACC252158E}" keepAlive="1" name="Query - Net_Income" description="Connection to the 'Net_Income' query in the workbook." type="5" refreshedVersion="8" background="1" saveData="1">
    <dbPr connection="Provider=Microsoft.Mashup.OleDb.1;Data Source=$Workbook$;Location=Net_Income;Extended Properties=&quot;&quot;" command="SELECT * FROM [Net_Income]"/>
  </connection>
  <connection id="11" xr16:uid="{0A27DE0C-2AA3-48C0-9389-AE53929F8338}" name="Query - Oil_Price_Qtr_Avg" description="Connection to the 'Oil_Price_Qtr_Avg' query in the workbook." type="100" refreshedVersion="8" minRefreshableVersion="5">
    <extLst>
      <ext xmlns:x15="http://schemas.microsoft.com/office/spreadsheetml/2010/11/main" uri="{DE250136-89BD-433C-8126-D09CA5730AF9}">
        <x15:connection id="77443ad2-1d14-4703-a778-aeda67f11b28"/>
      </ext>
    </extLst>
  </connection>
  <connection id="12" xr16:uid="{EFA8D7E4-5E28-4CD3-B2A4-B775BB7F4172}" keepAlive="1" name="Query - Operating_Income" description="Connection to the 'Operating_Income' query in the workbook." type="5" refreshedVersion="8" background="1" saveData="1">
    <dbPr connection="Provider=Microsoft.Mashup.OleDb.1;Data Source=$Workbook$;Location=Operating_Income;Extended Properties=&quot;&quot;" command="SELECT * FROM [Operating_Income]"/>
  </connection>
  <connection id="13" xr16:uid="{1E2BCABB-EFE2-4B1C-A9F3-C367669B2E59}" keepAlive="1" name="Query - Operating_Revenue" description="Connection to the 'Operating_Revenue' query in the workbook." type="5" refreshedVersion="8" background="1" saveData="1">
    <dbPr connection="Provider=Microsoft.Mashup.OleDb.1;Data Source=$Workbook$;Location=Operating_Revenue;Extended Properties=&quot;&quot;" command="SELECT * FROM [Operating_Revenue]"/>
  </connection>
  <connection id="14" xr16:uid="{8076DF58-83D8-4278-8D95-2FBB4A89A5A5}"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15" xr16:uid="{03393ACD-56E8-4EC7-8BC7-6F12CE72866F}" keepAlive="1" name="Query - Parameter2" description="Connection to the 'Parameter2' query in the workbook." type="5" refreshedVersion="0" background="1">
    <dbPr connection="Provider=Microsoft.Mashup.OleDb.1;Data Source=$Workbook$;Location=Parameter2;Extended Properties=&quot;&quot;" command="SELECT * FROM [Parameter2]"/>
  </connection>
  <connection id="16" xr16:uid="{FD7B6739-3E8F-4DAA-99D2-9E1F5DFDE180}" keepAlive="1" name="Query - Parameter3" description="Connection to the 'Parameter3' query in the workbook." type="5" refreshedVersion="0" background="1">
    <dbPr connection="Provider=Microsoft.Mashup.OleDb.1;Data Source=$Workbook$;Location=Parameter3;Extended Properties=&quot;&quot;" command="SELECT * FROM [Parameter3]"/>
  </connection>
  <connection id="17" xr16:uid="{1867571A-2D6E-44D8-BD5A-596478EA78E6}"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18" xr16:uid="{A0AA2141-D1BC-4978-920D-556EDE55B2E4}" keepAlive="1" name="Query - Sample File (2)" description="Connection to the 'Sample File (2)' query in the workbook." type="5" refreshedVersion="0" background="1">
    <dbPr connection="Provider=Microsoft.Mashup.OleDb.1;Data Source=$Workbook$;Location=&quot;Sample File (2)&quot;;Extended Properties=&quot;&quot;" command="SELECT * FROM [Sample File (2)]"/>
  </connection>
  <connection id="19" xr16:uid="{96111F5D-E749-47EA-820C-17633109180A}" keepAlive="1" name="Query - Sample File (3)" description="Connection to the 'Sample File (3)' query in the workbook." type="5" refreshedVersion="0" background="1">
    <dbPr connection="Provider=Microsoft.Mashup.OleDb.1;Data Source=$Workbook$;Location=&quot;Sample File (3)&quot;;Extended Properties=&quot;&quot;" command="SELECT * FROM [Sample File (3)]"/>
  </connection>
  <connection id="20" xr16:uid="{5921BD78-3951-4A3F-ABCA-4BA0F9700136}"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21" xr16:uid="{9DE85F05-BDD1-4101-BB78-7345F3C5479D}" keepAlive="1" name="Query - Transform File (2)" description="Connection to the 'Transform File (2)' query in the workbook." type="5" refreshedVersion="0" background="1">
    <dbPr connection="Provider=Microsoft.Mashup.OleDb.1;Data Source=$Workbook$;Location=&quot;Transform File (2)&quot;;Extended Properties=&quot;&quot;" command="SELECT * FROM [Transform File (2)]"/>
  </connection>
  <connection id="22" xr16:uid="{B22B39CD-E37D-4826-A53D-A82EA829848C}" keepAlive="1" name="Query - Transform File (3)" description="Connection to the 'Transform File (3)' query in the workbook." type="5" refreshedVersion="0" background="1">
    <dbPr connection="Provider=Microsoft.Mashup.OleDb.1;Data Source=$Workbook$;Location=&quot;Transform File (3)&quot;;Extended Properties=&quot;&quot;" command="SELECT * FROM [Transform File (3)]"/>
  </connection>
  <connection id="23" xr16:uid="{52200380-F3CE-4853-A749-383DA1FE8795}"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 id="24" xr16:uid="{1E1B3818-FEBD-4560-AC85-19C1124035E9}" keepAlive="1" name="Query - Transform Sample File (2)" description="Connection to the 'Transform Sample File (2)' query in the workbook." type="5" refreshedVersion="0" background="1">
    <dbPr connection="Provider=Microsoft.Mashup.OleDb.1;Data Source=$Workbook$;Location=&quot;Transform Sample File (2)&quot;;Extended Properties=&quot;&quot;" command="SELECT * FROM [Transform Sample File (2)]"/>
  </connection>
  <connection id="25" xr16:uid="{3ECC0593-7F04-4104-875F-59EDDF231004}" keepAlive="1" name="Query - Transform Sample File (3)" description="Connection to the 'Transform Sample File (3)' query in the workbook." type="5" refreshedVersion="0" background="1">
    <dbPr connection="Provider=Microsoft.Mashup.OleDb.1;Data Source=$Workbook$;Location=&quot;Transform Sample File (3)&quot;;Extended Properties=&quot;&quot;" command="SELECT * FROM [Transform Sample File (3)]"/>
  </connection>
  <connection id="26" xr16:uid="{F396F471-680B-4349-B532-56110044F41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Fact_Financials_Master 1].[CARES_FLAG].&amp;[CARES_Period]}"/>
    <s v="{[Fact_Financials_Master 1].[Airline_Name].&amp;[Delta Airlines]}"/>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<sst xmlns="http://schemas.openxmlformats.org/spreadsheetml/2006/main" count="2280" uniqueCount="115">
  <si>
    <t>Year_Quarter</t>
  </si>
  <si>
    <t>Airline_Name</t>
  </si>
  <si>
    <t>net_income</t>
  </si>
  <si>
    <t>2009-Q1</t>
  </si>
  <si>
    <t>American Airlines</t>
  </si>
  <si>
    <t>2009-Q2</t>
  </si>
  <si>
    <t>2009-Q3</t>
  </si>
  <si>
    <t>2009-Q4</t>
  </si>
  <si>
    <t>2010-Q1</t>
  </si>
  <si>
    <t>2010-Q2</t>
  </si>
  <si>
    <t>2010-Q3</t>
  </si>
  <si>
    <t>2010-Q4</t>
  </si>
  <si>
    <t>2011-Q1</t>
  </si>
  <si>
    <t>2011-Q2</t>
  </si>
  <si>
    <t>2011-Q3</t>
  </si>
  <si>
    <t>2011-Q4</t>
  </si>
  <si>
    <t>2012-Q1</t>
  </si>
  <si>
    <t>2012-Q2</t>
  </si>
  <si>
    <t>2012-Q3</t>
  </si>
  <si>
    <t>2012-Q4</t>
  </si>
  <si>
    <t>2013-Q1</t>
  </si>
  <si>
    <t>2013-Q2</t>
  </si>
  <si>
    <t>2013-Q3</t>
  </si>
  <si>
    <t>2013-Q4</t>
  </si>
  <si>
    <t>2014-Q1</t>
  </si>
  <si>
    <t>2014-Q2</t>
  </si>
  <si>
    <t>2014-Q3</t>
  </si>
  <si>
    <t>2014-Q4</t>
  </si>
  <si>
    <t>2015-Q1</t>
  </si>
  <si>
    <t>2015-Q2</t>
  </si>
  <si>
    <t>2015-Q3</t>
  </si>
  <si>
    <t>2015-Q4</t>
  </si>
  <si>
    <t>2016-Q1</t>
  </si>
  <si>
    <t>2016-Q2</t>
  </si>
  <si>
    <t>2016-Q3</t>
  </si>
  <si>
    <t>2016-Q4</t>
  </si>
  <si>
    <t>2017-Q1</t>
  </si>
  <si>
    <t>2017-Q2</t>
  </si>
  <si>
    <t>2017-Q3</t>
  </si>
  <si>
    <t>2017-Q4</t>
  </si>
  <si>
    <t>2018-Q1</t>
  </si>
  <si>
    <t>2018-Q2</t>
  </si>
  <si>
    <t>2018-Q3</t>
  </si>
  <si>
    <t>2018-Q4</t>
  </si>
  <si>
    <t>2019-Q1</t>
  </si>
  <si>
    <t>2019-Q2</t>
  </si>
  <si>
    <t>2019-Q3</t>
  </si>
  <si>
    <t>2019-Q4</t>
  </si>
  <si>
    <t>2020-Q1</t>
  </si>
  <si>
    <t>2020-Q2</t>
  </si>
  <si>
    <t>2020-Q3</t>
  </si>
  <si>
    <t>2020-Q4</t>
  </si>
  <si>
    <t>2021-Q1</t>
  </si>
  <si>
    <t>2021-Q2</t>
  </si>
  <si>
    <t>2021-Q3</t>
  </si>
  <si>
    <t>2021-Q4</t>
  </si>
  <si>
    <t>2022-Q1</t>
  </si>
  <si>
    <t>2022-Q2</t>
  </si>
  <si>
    <t>2022-Q3</t>
  </si>
  <si>
    <t>2022-Q4</t>
  </si>
  <si>
    <t>Hawaiian Airlines</t>
  </si>
  <si>
    <t>Allegiant Airlines</t>
  </si>
  <si>
    <t>Delta Airlines</t>
  </si>
  <si>
    <t>United Airlines</t>
  </si>
  <si>
    <t>Southwest Airlines</t>
  </si>
  <si>
    <t>JetBlue Airlines</t>
  </si>
  <si>
    <t>Alaska Airlines</t>
  </si>
  <si>
    <t>Spirit Airlines</t>
  </si>
  <si>
    <t>Frontier Airlines</t>
  </si>
  <si>
    <t>load_factor</t>
  </si>
  <si>
    <t>operating_revenue</t>
  </si>
  <si>
    <t>operating_income</t>
  </si>
  <si>
    <t>fuel_cost</t>
  </si>
  <si>
    <t>Oil_Price_Qtr_Avg</t>
  </si>
  <si>
    <t>Covid_US_Cases_Quarterly</t>
  </si>
  <si>
    <t>Date_Key</t>
  </si>
  <si>
    <t>Row Labels</t>
  </si>
  <si>
    <t>Grand Total</t>
  </si>
  <si>
    <t>Sum of Oil_Price_Qtr_Avg</t>
  </si>
  <si>
    <t>Sum of net_income</t>
  </si>
  <si>
    <t>CARES_FLAG</t>
  </si>
  <si>
    <t>Normal_Period</t>
  </si>
  <si>
    <t>CARES_Period</t>
  </si>
  <si>
    <t>Column Labels</t>
  </si>
  <si>
    <t>Sum of operating_income</t>
  </si>
  <si>
    <t>Total Sum of operating_income</t>
  </si>
  <si>
    <t>Total Sum of operating_revenue</t>
  </si>
  <si>
    <t>Sum of operating_revenue</t>
  </si>
  <si>
    <t>2009</t>
  </si>
  <si>
    <t>2010</t>
  </si>
  <si>
    <t>2011</t>
  </si>
  <si>
    <t>2012</t>
  </si>
  <si>
    <t>2013</t>
  </si>
  <si>
    <t>2014</t>
  </si>
  <si>
    <t>2015</t>
  </si>
  <si>
    <t>2016</t>
  </si>
  <si>
    <t>2017</t>
  </si>
  <si>
    <t>2018</t>
  </si>
  <si>
    <t>2019</t>
  </si>
  <si>
    <t>2020</t>
  </si>
  <si>
    <t>2021</t>
  </si>
  <si>
    <t>2022</t>
  </si>
  <si>
    <t>Oil_Bucket</t>
  </si>
  <si>
    <t>Below_50</t>
  </si>
  <si>
    <t>50_to_80</t>
  </si>
  <si>
    <t>80_to_100</t>
  </si>
  <si>
    <t>100_Plus</t>
  </si>
  <si>
    <t>Year</t>
  </si>
  <si>
    <t>Sum of load_factor</t>
  </si>
  <si>
    <t>Total Sum of load_factor</t>
  </si>
  <si>
    <t>Adjusted_Fuel_Cost</t>
  </si>
  <si>
    <t>Total Operating Margin Percentage</t>
  </si>
  <si>
    <t>Operating Margin Percentage</t>
  </si>
  <si>
    <t>Average of operating_income</t>
  </si>
  <si>
    <t>Bailout Cushion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</si>
</sst>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quot;£&quot;#,##0.00"/>
    <numFmt numFmtId="165" formatCode="[$$-409]#,##0.00"/>
    <numFmt numFmtId="166" formatCode="[$$-409]#,##0"/>
  </numFmts>
  <fonts count="2" x14ac:knownFonts="1">
    <font>
      <sz val="11"/>
      <color theme="1"/>
      <name val="Aptos Narrow"/>
      <family val="2"/>
      <scheme val="minor"/>
    </font>
    <font>
      <sz val="11"/>
      <color theme="1"/>
      <name val="Aptos Narrow"/>
      <family val="2"/>
      <scheme val="minor"/>
    </font>
  </fonts>
  <fills count="3">
    <fill>
      <patternFill patternType="none"/>
    </fill>
    <fill>
      <patternFill patternType="gray125"/>
    </fill>
    <fill>
      <patternFill patternType="solid">
        <fgColor rgb="FF0E0F12"/>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0">
    <xf numFmtId="0" fontId="0" fillId="0" borderId="0" xfId="0"/>
    <xf numFmtId="0" fontId="0" fillId="0" borderId="0" xfId="0" pivotButton="1"/>
    <xf numFmtId="0" fontId="0" fillId="0" borderId="0" xfId="0" applyAlignment="1">
      <alignment horizontal="left"/>
    </xf>
    <xf numFmtId="0" fontId="0" fillId="2" borderId="0" xfId="0" applyFill="1"/>
    <xf numFmtId="164" fontId="0" fillId="0" borderId="0" xfId="0" applyNumberFormat="1"/>
    <xf numFmtId="10" fontId="0" fillId="0" borderId="0" xfId="0" applyNumberFormat="1"/>
    <xf numFmtId="9" fontId="0" fillId="0" borderId="0" xfId="1" applyFont="1"/>
    <xf numFmtId="165" fontId="0" fillId="0" borderId="0" xfId="0" applyNumberFormat="1"/>
    <xf numFmtId="0" fontId="0" fillId="0" borderId="0" xfId="0" applyNumberFormat="1"/>
    <xf numFmtId="166" fontId="0" fillId="0" borderId="0" xfId="0" applyNumberFormat="1"/>
  </cellXfs>
  <cellStyles count="2">
    <cellStyle name="Normal" xfId="0" builtinId="0"/>
    <cellStyle name="Percent" xfId="1" builtinId="5"/>
  </cellStyles>
  <dxfs count="4">
    <dxf>
      <numFmt numFmtId="0" formatCode="General"/>
    </dxf>
    <dxf>
      <numFmt numFmtId="0" formatCode="General"/>
    </dxf>
    <dxf>
      <font>
        <color rgb="FF94A3B8"/>
      </font>
      <fill>
        <patternFill>
          <bgColor rgb="FF18191E"/>
        </patternFill>
      </fill>
    </dxf>
    <dxf>
      <font>
        <color theme="0"/>
      </font>
      <fill>
        <patternFill>
          <bgColor rgb="FF18191E"/>
        </patternFill>
      </fill>
      <border diagonalUp="0" diagonalDown="0">
        <left/>
        <right/>
        <top/>
        <bottom/>
        <vertical/>
        <horizontal/>
      </border>
    </dxf>
  </dxfs>
  <tableStyles count="1" defaultTableStyle="TableStyleMedium2" defaultPivotStyle="PivotStyleLight16">
    <tableStyle name="SaaS_dark_mode" pivot="0" table="0" count="5" xr9:uid="{9BE31A8C-537F-4337-BF12-166AF028A84E}">
      <tableStyleElement type="wholeTable" dxfId="3"/>
      <tableStyleElement type="headerRow" dxfId="2"/>
    </tableStyle>
  </tableStyles>
  <colors>
    <mruColors>
      <color rgb="FFD97706"/>
      <color rgb="FF2563EB"/>
      <color rgb="FF94A3B8"/>
      <color rgb="FFDC2626"/>
      <color rgb="FF18191E"/>
      <color rgb="FF2D313E"/>
      <color rgb="FF1F2026"/>
      <color rgb="FFCBD5E1"/>
      <color rgb="FF282A34"/>
      <color rgb="FF0E0F12"/>
    </mruColors>
  </colors>
  <extLst>
    <ext xmlns:x14="http://schemas.microsoft.com/office/spreadsheetml/2009/9/main" uri="{46F421CA-312F-682f-3DD2-61675219B42D}">
      <x14:dxfs count="3">
        <dxf>
          <fill>
            <patternFill>
              <bgColor rgb="FF2D313E"/>
            </patternFill>
          </fill>
        </dxf>
        <dxf>
          <fill>
            <patternFill>
              <bgColor rgb="FF2563EB"/>
            </patternFill>
          </fill>
        </dxf>
        <dxf>
          <fill>
            <patternFill>
              <bgColor rgb="FF1F2026"/>
            </patternFill>
          </fill>
        </dxf>
      </x14:dxfs>
    </ext>
    <ext xmlns:x14="http://schemas.microsoft.com/office/spreadsheetml/2009/9/main" uri="{EB79DEF2-80B8-43e5-95BD-54CBDDF9020C}">
      <x14:slicerStyles defaultSlicerStyle="SlicerStyleLight1">
        <x14:slicerStyle name="SaaS_dark_mode">
          <x14:slicerStyleElements>
            <x14:slicerStyleElement type="unselectedItemWithData" dxfId="2"/>
            <x14:slicerStyleElement type="selectedItemWithData" dxfId="1"/>
            <x14:slicerStyleElement type="hoveredUn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pivotCacheDefinition" Target="pivotCache/pivotCacheDefinition11.xml"/><Relationship Id="rId26" Type="http://schemas.openxmlformats.org/officeDocument/2006/relationships/connections" Target="connections.xml"/><Relationship Id="rId39" Type="http://schemas.openxmlformats.org/officeDocument/2006/relationships/customXml" Target="../customXml/item8.xml"/><Relationship Id="rId21" Type="http://schemas.openxmlformats.org/officeDocument/2006/relationships/pivotCacheDefinition" Target="pivotCache/pivotCacheDefinition14.xml"/><Relationship Id="rId34" Type="http://schemas.openxmlformats.org/officeDocument/2006/relationships/customXml" Target="../customXml/item3.xml"/><Relationship Id="rId42" Type="http://schemas.openxmlformats.org/officeDocument/2006/relationships/customXml" Target="../customXml/item11.xml"/><Relationship Id="rId47" Type="http://schemas.openxmlformats.org/officeDocument/2006/relationships/customXml" Target="../customXml/item16.xml"/><Relationship Id="rId50" Type="http://schemas.openxmlformats.org/officeDocument/2006/relationships/customXml" Target="../customXml/item19.xml"/><Relationship Id="rId55" Type="http://schemas.openxmlformats.org/officeDocument/2006/relationships/customXml" Target="../customXml/item2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0" Type="http://schemas.openxmlformats.org/officeDocument/2006/relationships/pivotCacheDefinition" Target="pivotCache/pivotCacheDefinition13.xml"/><Relationship Id="rId29" Type="http://schemas.openxmlformats.org/officeDocument/2006/relationships/sheetMetadata" Target="metadata.xml"/><Relationship Id="rId41" Type="http://schemas.openxmlformats.org/officeDocument/2006/relationships/customXml" Target="../customXml/item10.xml"/><Relationship Id="rId54" Type="http://schemas.openxmlformats.org/officeDocument/2006/relationships/customXml" Target="../customXml/item2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microsoft.com/office/2007/relationships/slicerCache" Target="slicerCaches/slicerCache3.xml"/><Relationship Id="rId32" Type="http://schemas.openxmlformats.org/officeDocument/2006/relationships/customXml" Target="../customXml/item1.xml"/><Relationship Id="rId37" Type="http://schemas.openxmlformats.org/officeDocument/2006/relationships/customXml" Target="../customXml/item6.xml"/><Relationship Id="rId40" Type="http://schemas.openxmlformats.org/officeDocument/2006/relationships/customXml" Target="../customXml/item9.xml"/><Relationship Id="rId45" Type="http://schemas.openxmlformats.org/officeDocument/2006/relationships/customXml" Target="../customXml/item14.xml"/><Relationship Id="rId53" Type="http://schemas.openxmlformats.org/officeDocument/2006/relationships/customXml" Target="../customXml/item22.xml"/><Relationship Id="rId58" Type="http://schemas.openxmlformats.org/officeDocument/2006/relationships/customXml" Target="../customXml/item27.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microsoft.com/office/2007/relationships/slicerCache" Target="slicerCaches/slicerCache2.xml"/><Relationship Id="rId28" Type="http://schemas.openxmlformats.org/officeDocument/2006/relationships/sharedStrings" Target="sharedStrings.xml"/><Relationship Id="rId36" Type="http://schemas.openxmlformats.org/officeDocument/2006/relationships/customXml" Target="../customXml/item5.xml"/><Relationship Id="rId49" Type="http://schemas.openxmlformats.org/officeDocument/2006/relationships/customXml" Target="../customXml/item18.xml"/><Relationship Id="rId57" Type="http://schemas.openxmlformats.org/officeDocument/2006/relationships/customXml" Target="../customXml/item26.xml"/><Relationship Id="rId61" Type="http://schemas.openxmlformats.org/officeDocument/2006/relationships/customXml" Target="../customXml/item30.xml"/><Relationship Id="rId10" Type="http://schemas.openxmlformats.org/officeDocument/2006/relationships/pivotCacheDefinition" Target="pivotCache/pivotCacheDefinition3.xml"/><Relationship Id="rId19" Type="http://schemas.openxmlformats.org/officeDocument/2006/relationships/pivotCacheDefinition" Target="pivotCache/pivotCacheDefinition12.xml"/><Relationship Id="rId31" Type="http://schemas.openxmlformats.org/officeDocument/2006/relationships/calcChain" Target="calcChain.xml"/><Relationship Id="rId44" Type="http://schemas.openxmlformats.org/officeDocument/2006/relationships/customXml" Target="../customXml/item13.xml"/><Relationship Id="rId52" Type="http://schemas.openxmlformats.org/officeDocument/2006/relationships/customXml" Target="../customXml/item21.xml"/><Relationship Id="rId60" Type="http://schemas.openxmlformats.org/officeDocument/2006/relationships/customXml" Target="../customXml/item29.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microsoft.com/office/2007/relationships/slicerCache" Target="slicerCaches/slicerCache1.xml"/><Relationship Id="rId27" Type="http://schemas.openxmlformats.org/officeDocument/2006/relationships/styles" Target="styles.xml"/><Relationship Id="rId30" Type="http://schemas.openxmlformats.org/officeDocument/2006/relationships/powerPivotData" Target="model/item.data"/><Relationship Id="rId35" Type="http://schemas.openxmlformats.org/officeDocument/2006/relationships/customXml" Target="../customXml/item4.xml"/><Relationship Id="rId43" Type="http://schemas.openxmlformats.org/officeDocument/2006/relationships/customXml" Target="../customXml/item12.xml"/><Relationship Id="rId48" Type="http://schemas.openxmlformats.org/officeDocument/2006/relationships/customXml" Target="../customXml/item17.xml"/><Relationship Id="rId56" Type="http://schemas.openxmlformats.org/officeDocument/2006/relationships/customXml" Target="../customXml/item25.xml"/><Relationship Id="rId8" Type="http://schemas.openxmlformats.org/officeDocument/2006/relationships/pivotCacheDefinition" Target="pivotCache/pivotCacheDefinition1.xml"/><Relationship Id="rId51" Type="http://schemas.openxmlformats.org/officeDocument/2006/relationships/customXml" Target="../customXml/item20.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theme" Target="theme/theme1.xml"/><Relationship Id="rId33" Type="http://schemas.openxmlformats.org/officeDocument/2006/relationships/customXml" Target="../customXml/item2.xml"/><Relationship Id="rId38" Type="http://schemas.openxmlformats.org/officeDocument/2006/relationships/customXml" Target="../customXml/item7.xml"/><Relationship Id="rId46" Type="http://schemas.openxmlformats.org/officeDocument/2006/relationships/customXml" Target="../customXml/item15.xml"/><Relationship Id="rId59" Type="http://schemas.openxmlformats.org/officeDocument/2006/relationships/customXml" Target="../customXml/item2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2009-Q1 - Sum of net_income</c:v>
          </c:tx>
          <c:spPr>
            <a:solidFill>
              <a:schemeClr val="accent1"/>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-12045</c:v>
              </c:pt>
              <c:pt idx="1">
                <c:v>40267</c:v>
              </c:pt>
              <c:pt idx="2">
                <c:v>-365661</c:v>
              </c:pt>
              <c:pt idx="3">
                <c:v>-515691</c:v>
              </c:pt>
              <c:pt idx="4">
                <c:v>-163595</c:v>
              </c:pt>
              <c:pt idx="5">
                <c:v>24494</c:v>
              </c:pt>
              <c:pt idx="6">
                <c:v>11678</c:v>
              </c:pt>
              <c:pt idx="7">
                <c:v>-90959</c:v>
              </c:pt>
              <c:pt idx="8">
                <c:v>18710</c:v>
              </c:pt>
              <c:pt idx="9">
                <c:v>-380446</c:v>
              </c:pt>
            </c:numLit>
          </c:val>
          <c:extLst>
            <c:ext xmlns:c16="http://schemas.microsoft.com/office/drawing/2014/chart" uri="{C3380CC4-5D6E-409C-BE32-E72D297353CC}">
              <c16:uniqueId val="{00000000-CE26-4B5A-A4DE-B0E82C734091}"/>
            </c:ext>
          </c:extLst>
        </c:ser>
        <c:ser>
          <c:idx val="1"/>
          <c:order val="1"/>
          <c:tx>
            <c:v>2009-Q1 - Sum of operating_income</c:v>
          </c:tx>
          <c:spPr>
            <a:solidFill>
              <a:schemeClr val="accent2"/>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6811</c:v>
              </c:pt>
              <c:pt idx="1">
                <c:v>41209</c:v>
              </c:pt>
              <c:pt idx="2">
                <c:v>-226645</c:v>
              </c:pt>
              <c:pt idx="3">
                <c:v>-337084</c:v>
              </c:pt>
              <c:pt idx="4">
                <c:v>22157.100000000002</c:v>
              </c:pt>
              <c:pt idx="5">
                <c:v>37056.639999999999</c:v>
              </c:pt>
              <c:pt idx="6">
                <c:v>72159.09</c:v>
              </c:pt>
              <c:pt idx="7">
                <c:v>-49950</c:v>
              </c:pt>
              <c:pt idx="8">
                <c:v>30684</c:v>
              </c:pt>
              <c:pt idx="9">
                <c:v>-135835</c:v>
              </c:pt>
            </c:numLit>
          </c:val>
          <c:extLst>
            <c:ext xmlns:c16="http://schemas.microsoft.com/office/drawing/2014/chart" uri="{C3380CC4-5D6E-409C-BE32-E72D297353CC}">
              <c16:uniqueId val="{00000001-CE26-4B5A-A4DE-B0E82C734091}"/>
            </c:ext>
          </c:extLst>
        </c:ser>
        <c:ser>
          <c:idx val="2"/>
          <c:order val="2"/>
          <c:tx>
            <c:v>2009-Q2 - Sum of net_income</c:v>
          </c:tx>
          <c:spPr>
            <a:solidFill>
              <a:schemeClr val="accent3"/>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25723</c:v>
              </c:pt>
              <c:pt idx="1">
                <c:v>32979</c:v>
              </c:pt>
              <c:pt idx="2">
                <c:v>-389835</c:v>
              </c:pt>
              <c:pt idx="3">
                <c:v>-264344</c:v>
              </c:pt>
              <c:pt idx="4">
                <c:v>7208</c:v>
              </c:pt>
              <c:pt idx="5">
                <c:v>28214</c:v>
              </c:pt>
              <c:pt idx="6">
                <c:v>20495</c:v>
              </c:pt>
              <c:pt idx="7">
                <c:v>90720</c:v>
              </c:pt>
              <c:pt idx="8">
                <c:v>22818</c:v>
              </c:pt>
              <c:pt idx="9">
                <c:v>30782</c:v>
              </c:pt>
            </c:numLit>
          </c:val>
          <c:extLst>
            <c:ext xmlns:c16="http://schemas.microsoft.com/office/drawing/2014/chart" uri="{C3380CC4-5D6E-409C-BE32-E72D297353CC}">
              <c16:uniqueId val="{000001BB-CE26-4B5A-A4DE-B0E82C734091}"/>
            </c:ext>
          </c:extLst>
        </c:ser>
        <c:ser>
          <c:idx val="3"/>
          <c:order val="3"/>
          <c:tx>
            <c:v>2009-Q2 - Sum of operating_income</c:v>
          </c:tx>
          <c:spPr>
            <a:solidFill>
              <a:schemeClr val="accent4"/>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31359</c:v>
              </c:pt>
              <c:pt idx="1">
                <c:v>33849</c:v>
              </c:pt>
              <c:pt idx="2">
                <c:v>-259408</c:v>
              </c:pt>
              <c:pt idx="3">
                <c:v>-159039</c:v>
              </c:pt>
              <c:pt idx="4">
                <c:v>26280.05</c:v>
              </c:pt>
              <c:pt idx="5">
                <c:v>32542.66</c:v>
              </c:pt>
              <c:pt idx="6">
                <c:v>64083.92</c:v>
              </c:pt>
              <c:pt idx="7">
                <c:v>123099</c:v>
              </c:pt>
              <c:pt idx="8">
                <c:v>34681</c:v>
              </c:pt>
              <c:pt idx="9">
                <c:v>172174</c:v>
              </c:pt>
            </c:numLit>
          </c:val>
          <c:extLst>
            <c:ext xmlns:c16="http://schemas.microsoft.com/office/drawing/2014/chart" uri="{C3380CC4-5D6E-409C-BE32-E72D297353CC}">
              <c16:uniqueId val="{000001BC-CE26-4B5A-A4DE-B0E82C734091}"/>
            </c:ext>
          </c:extLst>
        </c:ser>
        <c:ser>
          <c:idx val="4"/>
          <c:order val="4"/>
          <c:tx>
            <c:v>2009-Q3 - Sum of net_income</c:v>
          </c:tx>
          <c:spPr>
            <a:solidFill>
              <a:schemeClr val="accent5"/>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77312</c:v>
              </c:pt>
              <c:pt idx="1">
                <c:v>17236</c:v>
              </c:pt>
              <c:pt idx="2">
                <c:v>-376810</c:v>
              </c:pt>
              <c:pt idx="3">
                <c:v>-87359</c:v>
              </c:pt>
              <c:pt idx="4">
                <c:v>286779</c:v>
              </c:pt>
              <c:pt idx="5">
                <c:v>31342</c:v>
              </c:pt>
              <c:pt idx="6">
                <c:v>14831</c:v>
              </c:pt>
              <c:pt idx="7">
                <c:v>-16179</c:v>
              </c:pt>
              <c:pt idx="8">
                <c:v>14281</c:v>
              </c:pt>
              <c:pt idx="9">
                <c:v>-54342</c:v>
              </c:pt>
            </c:numLit>
          </c:val>
          <c:extLst>
            <c:ext xmlns:c16="http://schemas.microsoft.com/office/drawing/2014/chart" uri="{C3380CC4-5D6E-409C-BE32-E72D297353CC}">
              <c16:uniqueId val="{000001BD-CE26-4B5A-A4DE-B0E82C734091}"/>
            </c:ext>
          </c:extLst>
        </c:ser>
        <c:ser>
          <c:idx val="5"/>
          <c:order val="5"/>
          <c:tx>
            <c:v>2009-Q3 - Sum of operating_income</c:v>
          </c:tx>
          <c:spPr>
            <a:solidFill>
              <a:schemeClr val="accent6"/>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144603</c:v>
              </c:pt>
              <c:pt idx="1">
                <c:v>18299</c:v>
              </c:pt>
              <c:pt idx="2">
                <c:v>-245897</c:v>
              </c:pt>
              <c:pt idx="3">
                <c:v>67033</c:v>
              </c:pt>
              <c:pt idx="4">
                <c:v>31054.87</c:v>
              </c:pt>
              <c:pt idx="5">
                <c:v>24463.42</c:v>
              </c:pt>
              <c:pt idx="6">
                <c:v>66257.52</c:v>
              </c:pt>
              <c:pt idx="7">
                <c:v>22177</c:v>
              </c:pt>
              <c:pt idx="8">
                <c:v>25938</c:v>
              </c:pt>
              <c:pt idx="9">
                <c:v>130159</c:v>
              </c:pt>
            </c:numLit>
          </c:val>
          <c:extLst>
            <c:ext xmlns:c16="http://schemas.microsoft.com/office/drawing/2014/chart" uri="{C3380CC4-5D6E-409C-BE32-E72D297353CC}">
              <c16:uniqueId val="{000001BE-CE26-4B5A-A4DE-B0E82C734091}"/>
            </c:ext>
          </c:extLst>
        </c:ser>
        <c:ser>
          <c:idx val="6"/>
          <c:order val="6"/>
          <c:tx>
            <c:v>2009-Q4 - Sum of net_income</c:v>
          </c:tx>
          <c:spPr>
            <a:solidFill>
              <a:schemeClr val="accent1">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18691</c:v>
              </c:pt>
              <c:pt idx="1">
                <c:v>14174</c:v>
              </c:pt>
              <c:pt idx="2">
                <c:v>-343475</c:v>
              </c:pt>
              <c:pt idx="3">
                <c:v>-47803</c:v>
              </c:pt>
              <c:pt idx="4">
                <c:v>-9777</c:v>
              </c:pt>
              <c:pt idx="5">
                <c:v>36049</c:v>
              </c:pt>
              <c:pt idx="6">
                <c:v>11456</c:v>
              </c:pt>
              <c:pt idx="7">
                <c:v>115790</c:v>
              </c:pt>
              <c:pt idx="8">
                <c:v>27884</c:v>
              </c:pt>
              <c:pt idx="9">
                <c:v>-224113</c:v>
              </c:pt>
            </c:numLit>
          </c:val>
          <c:extLst>
            <c:ext xmlns:c16="http://schemas.microsoft.com/office/drawing/2014/chart" uri="{C3380CC4-5D6E-409C-BE32-E72D297353CC}">
              <c16:uniqueId val="{000001BF-CE26-4B5A-A4DE-B0E82C734091}"/>
            </c:ext>
          </c:extLst>
        </c:ser>
        <c:ser>
          <c:idx val="7"/>
          <c:order val="7"/>
          <c:tx>
            <c:v>2009-Q4 - Sum of operating_income</c:v>
          </c:tx>
          <c:spPr>
            <a:solidFill>
              <a:schemeClr val="accent2">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25648</c:v>
              </c:pt>
              <c:pt idx="1">
                <c:v>15163</c:v>
              </c:pt>
              <c:pt idx="2">
                <c:v>-430899</c:v>
              </c:pt>
              <c:pt idx="3">
                <c:v>-91765</c:v>
              </c:pt>
              <c:pt idx="4">
                <c:v>-12589.37</c:v>
              </c:pt>
              <c:pt idx="5">
                <c:v>17178.809999999998</c:v>
              </c:pt>
              <c:pt idx="6">
                <c:v>63484.69</c:v>
              </c:pt>
              <c:pt idx="7">
                <c:v>166716</c:v>
              </c:pt>
              <c:pt idx="8">
                <c:v>20106</c:v>
              </c:pt>
              <c:pt idx="9">
                <c:v>81644</c:v>
              </c:pt>
            </c:numLit>
          </c:val>
          <c:extLst>
            <c:ext xmlns:c16="http://schemas.microsoft.com/office/drawing/2014/chart" uri="{C3380CC4-5D6E-409C-BE32-E72D297353CC}">
              <c16:uniqueId val="{000001C0-CE26-4B5A-A4DE-B0E82C734091}"/>
            </c:ext>
          </c:extLst>
        </c:ser>
        <c:ser>
          <c:idx val="8"/>
          <c:order val="8"/>
          <c:tx>
            <c:v>2010-Q1 - Sum of net_income</c:v>
          </c:tx>
          <c:spPr>
            <a:solidFill>
              <a:schemeClr val="accent3">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10749</c:v>
              </c:pt>
              <c:pt idx="1">
                <c:v>31915</c:v>
              </c:pt>
              <c:pt idx="2">
                <c:v>-488786</c:v>
              </c:pt>
              <c:pt idx="3">
                <c:v>-260733</c:v>
              </c:pt>
              <c:pt idx="4">
                <c:v>-13554</c:v>
              </c:pt>
              <c:pt idx="5">
                <c:v>1572</c:v>
              </c:pt>
              <c:pt idx="6">
                <c:v>-1398</c:v>
              </c:pt>
              <c:pt idx="7">
                <c:v>10788</c:v>
              </c:pt>
              <c:pt idx="8">
                <c:v>11277</c:v>
              </c:pt>
              <c:pt idx="9">
                <c:v>-74098</c:v>
              </c:pt>
            </c:numLit>
          </c:val>
          <c:extLst>
            <c:ext xmlns:c16="http://schemas.microsoft.com/office/drawing/2014/chart" uri="{C3380CC4-5D6E-409C-BE32-E72D297353CC}">
              <c16:uniqueId val="{000001C1-CE26-4B5A-A4DE-B0E82C734091}"/>
            </c:ext>
          </c:extLst>
        </c:ser>
        <c:ser>
          <c:idx val="9"/>
          <c:order val="9"/>
          <c:tx>
            <c:v>2010-Q1 - Sum of operating_income</c:v>
          </c:tx>
          <c:spPr>
            <a:solidFill>
              <a:schemeClr val="accent4">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38000</c:v>
              </c:pt>
              <c:pt idx="1">
                <c:v>32688</c:v>
              </c:pt>
              <c:pt idx="2">
                <c:v>-321986</c:v>
              </c:pt>
              <c:pt idx="3">
                <c:v>107161</c:v>
              </c:pt>
              <c:pt idx="4">
                <c:v>-21888.5</c:v>
              </c:pt>
              <c:pt idx="5">
                <c:v>6965.49</c:v>
              </c:pt>
              <c:pt idx="6">
                <c:v>41576.050000000003</c:v>
              </c:pt>
              <c:pt idx="7">
                <c:v>54478</c:v>
              </c:pt>
              <c:pt idx="8">
                <c:v>24125</c:v>
              </c:pt>
              <c:pt idx="9">
                <c:v>94503</c:v>
              </c:pt>
            </c:numLit>
          </c:val>
          <c:extLst>
            <c:ext xmlns:c16="http://schemas.microsoft.com/office/drawing/2014/chart" uri="{C3380CC4-5D6E-409C-BE32-E72D297353CC}">
              <c16:uniqueId val="{000001C2-CE26-4B5A-A4DE-B0E82C734091}"/>
            </c:ext>
          </c:extLst>
        </c:ser>
        <c:ser>
          <c:idx val="10"/>
          <c:order val="10"/>
          <c:tx>
            <c:v>2010-Q2 - Sum of net_income</c:v>
          </c:tx>
          <c:spPr>
            <a:solidFill>
              <a:schemeClr val="accent5">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60301</c:v>
              </c:pt>
              <c:pt idx="1">
                <c:v>21789</c:v>
              </c:pt>
              <c:pt idx="2">
                <c:v>-6818</c:v>
              </c:pt>
              <c:pt idx="3">
                <c:v>459576</c:v>
              </c:pt>
              <c:pt idx="4">
                <c:v>-1486</c:v>
              </c:pt>
              <c:pt idx="5">
                <c:v>9877</c:v>
              </c:pt>
              <c:pt idx="6">
                <c:v>30801</c:v>
              </c:pt>
              <c:pt idx="7">
                <c:v>112214</c:v>
              </c:pt>
              <c:pt idx="8">
                <c:v>-59312</c:v>
              </c:pt>
              <c:pt idx="9">
                <c:v>280790</c:v>
              </c:pt>
            </c:numLit>
          </c:val>
          <c:extLst>
            <c:ext xmlns:c16="http://schemas.microsoft.com/office/drawing/2014/chart" uri="{C3380CC4-5D6E-409C-BE32-E72D297353CC}">
              <c16:uniqueId val="{000001C3-CE26-4B5A-A4DE-B0E82C734091}"/>
            </c:ext>
          </c:extLst>
        </c:ser>
        <c:ser>
          <c:idx val="11"/>
          <c:order val="11"/>
          <c:tx>
            <c:v>2010-Q2 - Sum of operating_income</c:v>
          </c:tx>
          <c:spPr>
            <a:solidFill>
              <a:schemeClr val="accent6">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135559</c:v>
              </c:pt>
              <c:pt idx="1">
                <c:v>22312</c:v>
              </c:pt>
              <c:pt idx="2">
                <c:v>159526</c:v>
              </c:pt>
              <c:pt idx="3">
                <c:v>920561</c:v>
              </c:pt>
              <c:pt idx="4">
                <c:v>-166.70000000000005</c:v>
              </c:pt>
              <c:pt idx="5">
                <c:v>24910.16</c:v>
              </c:pt>
              <c:pt idx="6">
                <c:v>94786.25</c:v>
              </c:pt>
              <c:pt idx="7">
                <c:v>362769</c:v>
              </c:pt>
              <c:pt idx="8">
                <c:v>-2172</c:v>
              </c:pt>
              <c:pt idx="9">
                <c:v>524924</c:v>
              </c:pt>
            </c:numLit>
          </c:val>
          <c:extLst>
            <c:ext xmlns:c16="http://schemas.microsoft.com/office/drawing/2014/chart" uri="{C3380CC4-5D6E-409C-BE32-E72D297353CC}">
              <c16:uniqueId val="{000001C4-CE26-4B5A-A4DE-B0E82C734091}"/>
            </c:ext>
          </c:extLst>
        </c:ser>
        <c:ser>
          <c:idx val="12"/>
          <c:order val="12"/>
          <c:tx>
            <c:v>2010-Q3 - Sum of net_income</c:v>
          </c:tx>
          <c:spPr>
            <a:solidFill>
              <a:schemeClr val="accent1">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116142</c:v>
              </c:pt>
              <c:pt idx="1">
                <c:v>14085</c:v>
              </c:pt>
              <c:pt idx="2">
                <c:v>128583</c:v>
              </c:pt>
              <c:pt idx="3">
                <c:v>388696</c:v>
              </c:pt>
              <c:pt idx="4">
                <c:v>9556</c:v>
              </c:pt>
              <c:pt idx="5">
                <c:v>31760</c:v>
              </c:pt>
              <c:pt idx="6">
                <c:v>58209</c:v>
              </c:pt>
              <c:pt idx="7">
                <c:v>204670</c:v>
              </c:pt>
              <c:pt idx="8">
                <c:v>63944</c:v>
              </c:pt>
              <c:pt idx="9">
                <c:v>402531</c:v>
              </c:pt>
            </c:numLit>
          </c:val>
          <c:extLst>
            <c:ext xmlns:c16="http://schemas.microsoft.com/office/drawing/2014/chart" uri="{C3380CC4-5D6E-409C-BE32-E72D297353CC}">
              <c16:uniqueId val="{000001C5-CE26-4B5A-A4DE-B0E82C734091}"/>
            </c:ext>
          </c:extLst>
        </c:ser>
        <c:ser>
          <c:idx val="13"/>
          <c:order val="13"/>
          <c:tx>
            <c:v>2010-Q3 - Sum of operating_income</c:v>
          </c:tx>
          <c:spPr>
            <a:solidFill>
              <a:schemeClr val="accent2">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191558</c:v>
              </c:pt>
              <c:pt idx="1">
                <c:v>14482</c:v>
              </c:pt>
              <c:pt idx="2">
                <c:v>290520</c:v>
              </c:pt>
              <c:pt idx="3">
                <c:v>1197653</c:v>
              </c:pt>
              <c:pt idx="4">
                <c:v>17565.8</c:v>
              </c:pt>
              <c:pt idx="5">
                <c:v>40593.93</c:v>
              </c:pt>
              <c:pt idx="6">
                <c:v>147680.19</c:v>
              </c:pt>
              <c:pt idx="7">
                <c:v>355056</c:v>
              </c:pt>
              <c:pt idx="8">
                <c:v>22586</c:v>
              </c:pt>
              <c:pt idx="9">
                <c:v>565515</c:v>
              </c:pt>
            </c:numLit>
          </c:val>
          <c:extLst>
            <c:ext xmlns:c16="http://schemas.microsoft.com/office/drawing/2014/chart" uri="{C3380CC4-5D6E-409C-BE32-E72D297353CC}">
              <c16:uniqueId val="{000001C6-CE26-4B5A-A4DE-B0E82C734091}"/>
            </c:ext>
          </c:extLst>
        </c:ser>
        <c:ser>
          <c:idx val="14"/>
          <c:order val="14"/>
          <c:tx>
            <c:v>2010-Q4 - Sum of net_income</c:v>
          </c:tx>
          <c:spPr>
            <a:solidFill>
              <a:schemeClr val="accent3">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63282</c:v>
              </c:pt>
              <c:pt idx="1">
                <c:v>17157</c:v>
              </c:pt>
              <c:pt idx="2">
                <c:v>-102197</c:v>
              </c:pt>
              <c:pt idx="3">
                <c:v>98451</c:v>
              </c:pt>
              <c:pt idx="4">
                <c:v>-13895</c:v>
              </c:pt>
              <c:pt idx="5">
                <c:v>71166</c:v>
              </c:pt>
              <c:pt idx="6">
                <c:v>9040</c:v>
              </c:pt>
              <c:pt idx="7">
                <c:v>131236</c:v>
              </c:pt>
              <c:pt idx="8">
                <c:v>9530</c:v>
              </c:pt>
              <c:pt idx="9">
                <c:v>-207625</c:v>
              </c:pt>
            </c:numLit>
          </c:val>
          <c:extLst>
            <c:ext xmlns:c16="http://schemas.microsoft.com/office/drawing/2014/chart" uri="{C3380CC4-5D6E-409C-BE32-E72D297353CC}">
              <c16:uniqueId val="{000001C7-CE26-4B5A-A4DE-B0E82C734091}"/>
            </c:ext>
          </c:extLst>
        </c:ser>
        <c:ser>
          <c:idx val="15"/>
          <c:order val="15"/>
          <c:tx>
            <c:v>2010-Q4 - Sum of operating_income</c:v>
          </c:tx>
          <c:spPr>
            <a:solidFill>
              <a:schemeClr val="accent4">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90134</c:v>
              </c:pt>
              <c:pt idx="1">
                <c:v>17310.77</c:v>
              </c:pt>
              <c:pt idx="2">
                <c:v>23195</c:v>
              </c:pt>
              <c:pt idx="3">
                <c:v>390405</c:v>
              </c:pt>
              <c:pt idx="4">
                <c:v>-15930.160000000002</c:v>
              </c:pt>
              <c:pt idx="5">
                <c:v>23026.5</c:v>
              </c:pt>
              <c:pt idx="6">
                <c:v>60276.759999999995</c:v>
              </c:pt>
              <c:pt idx="7">
                <c:v>215531</c:v>
              </c:pt>
              <c:pt idx="8">
                <c:v>21975.170000000002</c:v>
              </c:pt>
              <c:pt idx="9">
                <c:v>83410</c:v>
              </c:pt>
            </c:numLit>
          </c:val>
          <c:extLst>
            <c:ext xmlns:c16="http://schemas.microsoft.com/office/drawing/2014/chart" uri="{C3380CC4-5D6E-409C-BE32-E72D297353CC}">
              <c16:uniqueId val="{000001C8-CE26-4B5A-A4DE-B0E82C734091}"/>
            </c:ext>
          </c:extLst>
        </c:ser>
        <c:ser>
          <c:idx val="16"/>
          <c:order val="16"/>
          <c:tx>
            <c:v>2011-Q1 - Sum of net_income</c:v>
          </c:tx>
          <c:spPr>
            <a:solidFill>
              <a:schemeClr val="accent5">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79837</c:v>
              </c:pt>
              <c:pt idx="1">
                <c:v>23384</c:v>
              </c:pt>
              <c:pt idx="2">
                <c:v>-430511</c:v>
              </c:pt>
              <c:pt idx="3">
                <c:v>-295020</c:v>
              </c:pt>
              <c:pt idx="4">
                <c:v>-36469</c:v>
              </c:pt>
              <c:pt idx="5">
                <c:v>2376</c:v>
              </c:pt>
              <c:pt idx="6">
                <c:v>3364</c:v>
              </c:pt>
              <c:pt idx="7">
                <c:v>4854</c:v>
              </c:pt>
              <c:pt idx="8">
                <c:v>6377</c:v>
              </c:pt>
              <c:pt idx="9">
                <c:v>-159711</c:v>
              </c:pt>
            </c:numLit>
          </c:val>
          <c:extLst>
            <c:ext xmlns:c16="http://schemas.microsoft.com/office/drawing/2014/chart" uri="{C3380CC4-5D6E-409C-BE32-E72D297353CC}">
              <c16:uniqueId val="{000001C9-CE26-4B5A-A4DE-B0E82C734091}"/>
            </c:ext>
          </c:extLst>
        </c:ser>
        <c:ser>
          <c:idx val="17"/>
          <c:order val="17"/>
          <c:tx>
            <c:v>2011-Q1 - Sum of operating_income</c:v>
          </c:tx>
          <c:spPr>
            <a:solidFill>
              <a:schemeClr val="accent6">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46459</c:v>
              </c:pt>
              <c:pt idx="1">
                <c:v>23610.76</c:v>
              </c:pt>
              <c:pt idx="2">
                <c:v>-265694.14</c:v>
              </c:pt>
              <c:pt idx="3">
                <c:v>-74431</c:v>
              </c:pt>
              <c:pt idx="4">
                <c:v>-56925.98</c:v>
              </c:pt>
              <c:pt idx="5">
                <c:v>-3579.8599999999997</c:v>
              </c:pt>
              <c:pt idx="6">
                <c:v>44904.240000000005</c:v>
              </c:pt>
              <c:pt idx="7">
                <c:v>114098</c:v>
              </c:pt>
              <c:pt idx="8">
                <c:v>26844.18</c:v>
              </c:pt>
              <c:pt idx="9">
                <c:v>9616.6500000000087</c:v>
              </c:pt>
            </c:numLit>
          </c:val>
          <c:extLst>
            <c:ext xmlns:c16="http://schemas.microsoft.com/office/drawing/2014/chart" uri="{C3380CC4-5D6E-409C-BE32-E72D297353CC}">
              <c16:uniqueId val="{000001CA-CE26-4B5A-A4DE-B0E82C734091}"/>
            </c:ext>
          </c:extLst>
        </c:ser>
        <c:ser>
          <c:idx val="18"/>
          <c:order val="18"/>
          <c:tx>
            <c:v>2011-Q2 - Sum of net_income</c:v>
          </c:tx>
          <c:spPr>
            <a:solidFill>
              <a:schemeClr val="accent1">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41679</c:v>
              </c:pt>
              <c:pt idx="1">
                <c:v>13940</c:v>
              </c:pt>
              <c:pt idx="2">
                <c:v>-284356</c:v>
              </c:pt>
              <c:pt idx="3">
                <c:v>235953</c:v>
              </c:pt>
              <c:pt idx="4">
                <c:v>-23509</c:v>
              </c:pt>
              <c:pt idx="5">
                <c:v>-46951</c:v>
              </c:pt>
              <c:pt idx="6">
                <c:v>25039</c:v>
              </c:pt>
              <c:pt idx="7">
                <c:v>187604</c:v>
              </c:pt>
              <c:pt idx="8">
                <c:v>14099</c:v>
              </c:pt>
              <c:pt idx="9">
                <c:v>281883</c:v>
              </c:pt>
            </c:numLit>
          </c:val>
          <c:extLst>
            <c:ext xmlns:c16="http://schemas.microsoft.com/office/drawing/2014/chart" uri="{C3380CC4-5D6E-409C-BE32-E72D297353CC}">
              <c16:uniqueId val="{000001CB-CE26-4B5A-A4DE-B0E82C734091}"/>
            </c:ext>
          </c:extLst>
        </c:ser>
        <c:ser>
          <c:idx val="19"/>
          <c:order val="19"/>
          <c:tx>
            <c:v>2011-Q2 - Sum of operating_income</c:v>
          </c:tx>
          <c:spPr>
            <a:solidFill>
              <a:schemeClr val="accent2">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132319</c:v>
              </c:pt>
              <c:pt idx="1">
                <c:v>14177.08</c:v>
              </c:pt>
              <c:pt idx="2">
                <c:v>-116484</c:v>
              </c:pt>
              <c:pt idx="3">
                <c:v>633968</c:v>
              </c:pt>
              <c:pt idx="4">
                <c:v>-36144.69</c:v>
              </c:pt>
              <c:pt idx="5">
                <c:v>-69033.75</c:v>
              </c:pt>
              <c:pt idx="6">
                <c:v>86711.07</c:v>
              </c:pt>
              <c:pt idx="7">
                <c:v>195176</c:v>
              </c:pt>
              <c:pt idx="8">
                <c:v>34958.589999999997</c:v>
              </c:pt>
              <c:pt idx="9">
                <c:v>440810.61</c:v>
              </c:pt>
            </c:numLit>
          </c:val>
          <c:extLst>
            <c:ext xmlns:c16="http://schemas.microsoft.com/office/drawing/2014/chart" uri="{C3380CC4-5D6E-409C-BE32-E72D297353CC}">
              <c16:uniqueId val="{000001CC-CE26-4B5A-A4DE-B0E82C734091}"/>
            </c:ext>
          </c:extLst>
        </c:ser>
        <c:ser>
          <c:idx val="20"/>
          <c:order val="20"/>
          <c:tx>
            <c:v>2011-Q3 - Sum of net_income</c:v>
          </c:tx>
          <c:spPr>
            <a:solidFill>
              <a:schemeClr val="accent3">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75284</c:v>
              </c:pt>
              <c:pt idx="1">
                <c:v>10722</c:v>
              </c:pt>
              <c:pt idx="2">
                <c:v>-153152</c:v>
              </c:pt>
              <c:pt idx="3">
                <c:v>562182</c:v>
              </c:pt>
              <c:pt idx="4">
                <c:v>551</c:v>
              </c:pt>
              <c:pt idx="5">
                <c:v>28374</c:v>
              </c:pt>
              <c:pt idx="6">
                <c:v>34298</c:v>
              </c:pt>
              <c:pt idx="7">
                <c:v>-142708</c:v>
              </c:pt>
              <c:pt idx="8">
                <c:v>22873</c:v>
              </c:pt>
              <c:pt idx="9">
                <c:v>414480</c:v>
              </c:pt>
            </c:numLit>
          </c:val>
          <c:extLst>
            <c:ext xmlns:c16="http://schemas.microsoft.com/office/drawing/2014/chart" uri="{C3380CC4-5D6E-409C-BE32-E72D297353CC}">
              <c16:uniqueId val="{000001CD-CE26-4B5A-A4DE-B0E82C734091}"/>
            </c:ext>
          </c:extLst>
        </c:ser>
        <c:ser>
          <c:idx val="21"/>
          <c:order val="21"/>
          <c:tx>
            <c:v>2011-Q3 - Sum of operating_income</c:v>
          </c:tx>
          <c:spPr>
            <a:solidFill>
              <a:schemeClr val="accent4">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219916</c:v>
              </c:pt>
              <c:pt idx="1">
                <c:v>10944.59</c:v>
              </c:pt>
              <c:pt idx="2">
                <c:v>9503</c:v>
              </c:pt>
              <c:pt idx="3">
                <c:v>866109</c:v>
              </c:pt>
              <c:pt idx="4">
                <c:v>2431.3700000000003</c:v>
              </c:pt>
              <c:pt idx="5">
                <c:v>61726.65</c:v>
              </c:pt>
              <c:pt idx="6">
                <c:v>108361.37999999999</c:v>
              </c:pt>
              <c:pt idx="7">
                <c:v>206813</c:v>
              </c:pt>
              <c:pt idx="8">
                <c:v>44556.160000000003</c:v>
              </c:pt>
              <c:pt idx="9">
                <c:v>577761.57999999996</c:v>
              </c:pt>
            </c:numLit>
          </c:val>
          <c:extLst>
            <c:ext xmlns:c16="http://schemas.microsoft.com/office/drawing/2014/chart" uri="{C3380CC4-5D6E-409C-BE32-E72D297353CC}">
              <c16:uniqueId val="{000001CE-CE26-4B5A-A4DE-B0E82C734091}"/>
            </c:ext>
          </c:extLst>
        </c:ser>
        <c:ser>
          <c:idx val="22"/>
          <c:order val="22"/>
          <c:tx>
            <c:v>2011-Q4 - Sum of net_income</c:v>
          </c:tx>
          <c:spPr>
            <a:solidFill>
              <a:schemeClr val="accent5">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59634</c:v>
              </c:pt>
              <c:pt idx="1">
                <c:v>15631</c:v>
              </c:pt>
              <c:pt idx="2">
                <c:v>-1097082</c:v>
              </c:pt>
              <c:pt idx="3">
                <c:v>475404</c:v>
              </c:pt>
              <c:pt idx="4">
                <c:v>-12628</c:v>
              </c:pt>
              <c:pt idx="5">
                <c:v>24168</c:v>
              </c:pt>
              <c:pt idx="6">
                <c:v>23549</c:v>
              </c:pt>
              <c:pt idx="7">
                <c:v>150912</c:v>
              </c:pt>
              <c:pt idx="8">
                <c:v>23991</c:v>
              </c:pt>
              <c:pt idx="9">
                <c:v>-254571</c:v>
              </c:pt>
            </c:numLit>
          </c:val>
          <c:extLst>
            <c:ext xmlns:c16="http://schemas.microsoft.com/office/drawing/2014/chart" uri="{C3380CC4-5D6E-409C-BE32-E72D297353CC}">
              <c16:uniqueId val="{000001CF-CE26-4B5A-A4DE-B0E82C734091}"/>
            </c:ext>
          </c:extLst>
        </c:ser>
        <c:ser>
          <c:idx val="23"/>
          <c:order val="23"/>
          <c:tx>
            <c:v>2011-Q4 - Sum of operating_income</c:v>
          </c:tx>
          <c:spPr>
            <a:solidFill>
              <a:schemeClr val="accent6">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72377</c:v>
              </c:pt>
              <c:pt idx="1">
                <c:v>15671.78</c:v>
              </c:pt>
              <c:pt idx="2">
                <c:v>-797426</c:v>
              </c:pt>
              <c:pt idx="3">
                <c:v>819171</c:v>
              </c:pt>
              <c:pt idx="4">
                <c:v>-20835.920000000002</c:v>
              </c:pt>
              <c:pt idx="5">
                <c:v>35705.93</c:v>
              </c:pt>
              <c:pt idx="6">
                <c:v>83936.209999999992</c:v>
              </c:pt>
              <c:pt idx="7">
                <c:v>135986</c:v>
              </c:pt>
              <c:pt idx="8">
                <c:v>38023.81</c:v>
              </c:pt>
              <c:pt idx="9">
                <c:v>-134214.82</c:v>
              </c:pt>
            </c:numLit>
          </c:val>
          <c:extLst>
            <c:ext xmlns:c16="http://schemas.microsoft.com/office/drawing/2014/chart" uri="{C3380CC4-5D6E-409C-BE32-E72D297353CC}">
              <c16:uniqueId val="{000001D0-CE26-4B5A-A4DE-B0E82C734091}"/>
            </c:ext>
          </c:extLst>
        </c:ser>
        <c:ser>
          <c:idx val="24"/>
          <c:order val="24"/>
          <c:tx>
            <c:v>2012-Q1 - Sum of net_income</c:v>
          </c:tx>
          <c:spPr>
            <a:solidFill>
              <a:schemeClr val="accent1">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36770</c:v>
              </c:pt>
              <c:pt idx="1">
                <c:v>29168</c:v>
              </c:pt>
              <c:pt idx="2">
                <c:v>-1676208</c:v>
              </c:pt>
              <c:pt idx="3">
                <c:v>145841</c:v>
              </c:pt>
              <c:pt idx="4">
                <c:v>-13461</c:v>
              </c:pt>
              <c:pt idx="5">
                <c:v>10538</c:v>
              </c:pt>
              <c:pt idx="6">
                <c:v>29673</c:v>
              </c:pt>
              <c:pt idx="7">
                <c:v>108599</c:v>
              </c:pt>
              <c:pt idx="8">
                <c:v>20004</c:v>
              </c:pt>
              <c:pt idx="9">
                <c:v>-431097</c:v>
              </c:pt>
            </c:numLit>
          </c:val>
          <c:extLst>
            <c:ext xmlns:c16="http://schemas.microsoft.com/office/drawing/2014/chart" uri="{C3380CC4-5D6E-409C-BE32-E72D297353CC}">
              <c16:uniqueId val="{000001D1-CE26-4B5A-A4DE-B0E82C734091}"/>
            </c:ext>
          </c:extLst>
        </c:ser>
        <c:ser>
          <c:idx val="25"/>
          <c:order val="25"/>
          <c:tx>
            <c:v>2012-Q1 - Sum of operating_income</c:v>
          </c:tx>
          <c:spPr>
            <a:solidFill>
              <a:schemeClr val="accent2">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45005</c:v>
              </c:pt>
              <c:pt idx="1">
                <c:v>29288.31</c:v>
              </c:pt>
              <c:pt idx="2">
                <c:v>-101073</c:v>
              </c:pt>
              <c:pt idx="3">
                <c:v>381641</c:v>
              </c:pt>
              <c:pt idx="4">
                <c:v>-20041.419999999998</c:v>
              </c:pt>
              <c:pt idx="5">
                <c:v>14172.33</c:v>
              </c:pt>
              <c:pt idx="6">
                <c:v>81354.799999999988</c:v>
              </c:pt>
              <c:pt idx="7">
                <c:v>28190</c:v>
              </c:pt>
              <c:pt idx="8">
                <c:v>37247.870000000003</c:v>
              </c:pt>
              <c:pt idx="9">
                <c:v>-266536.36</c:v>
              </c:pt>
            </c:numLit>
          </c:val>
          <c:extLst>
            <c:ext xmlns:c16="http://schemas.microsoft.com/office/drawing/2014/chart" uri="{C3380CC4-5D6E-409C-BE32-E72D297353CC}">
              <c16:uniqueId val="{000001D2-CE26-4B5A-A4DE-B0E82C734091}"/>
            </c:ext>
          </c:extLst>
        </c:ser>
        <c:ser>
          <c:idx val="26"/>
          <c:order val="26"/>
          <c:tx>
            <c:v>2012-Q2 - Sum of net_income</c:v>
          </c:tx>
          <c:spPr>
            <a:solidFill>
              <a:schemeClr val="accent3">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66035</c:v>
              </c:pt>
              <c:pt idx="1">
                <c:v>33841</c:v>
              </c:pt>
              <c:pt idx="2">
                <c:v>-263749</c:v>
              </c:pt>
              <c:pt idx="3">
                <c:v>-150721</c:v>
              </c:pt>
              <c:pt idx="4">
                <c:v>8542</c:v>
              </c:pt>
              <c:pt idx="5">
                <c:v>7108</c:v>
              </c:pt>
              <c:pt idx="6">
                <c:v>52521</c:v>
              </c:pt>
              <c:pt idx="7">
                <c:v>228340</c:v>
              </c:pt>
              <c:pt idx="8">
                <c:v>29782</c:v>
              </c:pt>
              <c:pt idx="9">
                <c:v>369559</c:v>
              </c:pt>
            </c:numLit>
          </c:val>
          <c:extLst>
            <c:ext xmlns:c16="http://schemas.microsoft.com/office/drawing/2014/chart" uri="{C3380CC4-5D6E-409C-BE32-E72D297353CC}">
              <c16:uniqueId val="{000001D3-CE26-4B5A-A4DE-B0E82C734091}"/>
            </c:ext>
          </c:extLst>
        </c:ser>
        <c:ser>
          <c:idx val="27"/>
          <c:order val="27"/>
          <c:tx>
            <c:v>2012-Q2 - Sum of operating_income</c:v>
          </c:tx>
          <c:spPr>
            <a:solidFill>
              <a:schemeClr val="accent4">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191012</c:v>
              </c:pt>
              <c:pt idx="1">
                <c:v>34246.300000000003</c:v>
              </c:pt>
              <c:pt idx="2">
                <c:v>121736</c:v>
              </c:pt>
              <c:pt idx="3">
                <c:v>337484</c:v>
              </c:pt>
              <c:pt idx="4">
                <c:v>15471.2</c:v>
              </c:pt>
              <c:pt idx="5">
                <c:v>30501.370000000003</c:v>
              </c:pt>
              <c:pt idx="6">
                <c:v>119946.86</c:v>
              </c:pt>
              <c:pt idx="7">
                <c:v>459664</c:v>
              </c:pt>
              <c:pt idx="8">
                <c:v>55132.4</c:v>
              </c:pt>
              <c:pt idx="9">
                <c:v>576095.94999999995</c:v>
              </c:pt>
            </c:numLit>
          </c:val>
          <c:extLst>
            <c:ext xmlns:c16="http://schemas.microsoft.com/office/drawing/2014/chart" uri="{C3380CC4-5D6E-409C-BE32-E72D297353CC}">
              <c16:uniqueId val="{000001D4-CE26-4B5A-A4DE-B0E82C734091}"/>
            </c:ext>
          </c:extLst>
        </c:ser>
        <c:ser>
          <c:idx val="28"/>
          <c:order val="28"/>
          <c:tx>
            <c:v>2012-Q3 - Sum of net_income</c:v>
          </c:tx>
          <c:spPr>
            <a:solidFill>
              <a:schemeClr val="accent5">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160670</c:v>
              </c:pt>
              <c:pt idx="1">
                <c:v>22119</c:v>
              </c:pt>
              <c:pt idx="2">
                <c:v>-256922</c:v>
              </c:pt>
              <c:pt idx="3">
                <c:v>1169931</c:v>
              </c:pt>
              <c:pt idx="4">
                <c:v>18319</c:v>
              </c:pt>
              <c:pt idx="5">
                <c:v>49054</c:v>
              </c:pt>
              <c:pt idx="6">
                <c:v>44288</c:v>
              </c:pt>
              <c:pt idx="7">
                <c:v>16064</c:v>
              </c:pt>
              <c:pt idx="8">
                <c:v>26359</c:v>
              </c:pt>
              <c:pt idx="9">
                <c:v>-25106</c:v>
              </c:pt>
            </c:numLit>
          </c:val>
          <c:extLst>
            <c:ext xmlns:c16="http://schemas.microsoft.com/office/drawing/2014/chart" uri="{C3380CC4-5D6E-409C-BE32-E72D297353CC}">
              <c16:uniqueId val="{000001D5-CE26-4B5A-A4DE-B0E82C734091}"/>
            </c:ext>
          </c:extLst>
        </c:ser>
        <c:ser>
          <c:idx val="29"/>
          <c:order val="29"/>
          <c:tx>
            <c:v>2012-Q3 - Sum of operating_income</c:v>
          </c:tx>
          <c:spPr>
            <a:solidFill>
              <a:schemeClr val="accent6">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237058</c:v>
              </c:pt>
              <c:pt idx="1">
                <c:v>22427.45</c:v>
              </c:pt>
              <c:pt idx="2">
                <c:v>26537</c:v>
              </c:pt>
              <c:pt idx="3">
                <c:v>1461050</c:v>
              </c:pt>
              <c:pt idx="4">
                <c:v>31123.78</c:v>
              </c:pt>
              <c:pt idx="5">
                <c:v>76430.92</c:v>
              </c:pt>
              <c:pt idx="6">
                <c:v>112968.46</c:v>
              </c:pt>
              <c:pt idx="7">
                <c:v>50733</c:v>
              </c:pt>
              <c:pt idx="8">
                <c:v>49680.729999999996</c:v>
              </c:pt>
              <c:pt idx="9">
                <c:v>194794.37000000002</c:v>
              </c:pt>
            </c:numLit>
          </c:val>
          <c:extLst>
            <c:ext xmlns:c16="http://schemas.microsoft.com/office/drawing/2014/chart" uri="{C3380CC4-5D6E-409C-BE32-E72D297353CC}">
              <c16:uniqueId val="{000001D6-CE26-4B5A-A4DE-B0E82C734091}"/>
            </c:ext>
          </c:extLst>
        </c:ser>
        <c:ser>
          <c:idx val="30"/>
          <c:order val="30"/>
          <c:tx>
            <c:v>2012-Q4 - Sum of net_income</c:v>
          </c:tx>
          <c:spPr>
            <a:solidFill>
              <a:schemeClr val="accent1">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38126</c:v>
              </c:pt>
              <c:pt idx="1">
                <c:v>20451</c:v>
              </c:pt>
              <c:pt idx="2">
                <c:v>270778</c:v>
              </c:pt>
              <c:pt idx="3">
                <c:v>-20422</c:v>
              </c:pt>
              <c:pt idx="4">
                <c:v>-8665</c:v>
              </c:pt>
              <c:pt idx="5">
                <c:v>-441</c:v>
              </c:pt>
              <c:pt idx="6">
                <c:v>803</c:v>
              </c:pt>
              <c:pt idx="7">
                <c:v>78305</c:v>
              </c:pt>
              <c:pt idx="8">
                <c:v>19566</c:v>
              </c:pt>
              <c:pt idx="9">
                <c:v>-574336</c:v>
              </c:pt>
            </c:numLit>
          </c:val>
          <c:extLst>
            <c:ext xmlns:c16="http://schemas.microsoft.com/office/drawing/2014/chart" uri="{C3380CC4-5D6E-409C-BE32-E72D297353CC}">
              <c16:uniqueId val="{000001D7-CE26-4B5A-A4DE-B0E82C734091}"/>
            </c:ext>
          </c:extLst>
        </c:ser>
        <c:ser>
          <c:idx val="31"/>
          <c:order val="31"/>
          <c:tx>
            <c:v>2012-Q4 - Sum of operating_income</c:v>
          </c:tx>
          <c:spPr>
            <a:solidFill>
              <a:schemeClr val="accent2">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88363</c:v>
              </c:pt>
              <c:pt idx="1">
                <c:v>20701.13</c:v>
              </c:pt>
              <c:pt idx="2">
                <c:v>-6038</c:v>
              </c:pt>
              <c:pt idx="3">
                <c:v>468302</c:v>
              </c:pt>
              <c:pt idx="4">
                <c:v>2837.21</c:v>
              </c:pt>
              <c:pt idx="5">
                <c:v>11579</c:v>
              </c:pt>
              <c:pt idx="6">
                <c:v>45430.320000000007</c:v>
              </c:pt>
              <c:pt idx="7">
                <c:v>91357</c:v>
              </c:pt>
              <c:pt idx="8">
                <c:v>31932.510000000002</c:v>
              </c:pt>
              <c:pt idx="9">
                <c:v>-455535.95999999996</c:v>
              </c:pt>
            </c:numLit>
          </c:val>
          <c:extLst>
            <c:ext xmlns:c16="http://schemas.microsoft.com/office/drawing/2014/chart" uri="{C3380CC4-5D6E-409C-BE32-E72D297353CC}">
              <c16:uniqueId val="{000001D8-CE26-4B5A-A4DE-B0E82C734091}"/>
            </c:ext>
          </c:extLst>
        </c:ser>
        <c:ser>
          <c:idx val="32"/>
          <c:order val="32"/>
          <c:tx>
            <c:v>2013-Q1 - Sum of net_income</c:v>
          </c:tx>
          <c:spPr>
            <a:solidFill>
              <a:schemeClr val="accent3">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33894</c:v>
              </c:pt>
              <c:pt idx="1">
                <c:v>44446</c:v>
              </c:pt>
              <c:pt idx="2">
                <c:v>-252848</c:v>
              </c:pt>
              <c:pt idx="3">
                <c:v>6760</c:v>
              </c:pt>
              <c:pt idx="4">
                <c:v>-17345</c:v>
              </c:pt>
              <c:pt idx="5">
                <c:v>-14349</c:v>
              </c:pt>
              <c:pt idx="6">
                <c:v>13840</c:v>
              </c:pt>
              <c:pt idx="7">
                <c:v>58528</c:v>
              </c:pt>
              <c:pt idx="8">
                <c:v>26796</c:v>
              </c:pt>
              <c:pt idx="9">
                <c:v>-361526</c:v>
              </c:pt>
            </c:numLit>
          </c:val>
          <c:extLst>
            <c:ext xmlns:c16="http://schemas.microsoft.com/office/drawing/2014/chart" uri="{C3380CC4-5D6E-409C-BE32-E72D297353CC}">
              <c16:uniqueId val="{000001D9-CE26-4B5A-A4DE-B0E82C734091}"/>
            </c:ext>
          </c:extLst>
        </c:ser>
        <c:ser>
          <c:idx val="33"/>
          <c:order val="33"/>
          <c:tx>
            <c:v>2013-Q1 - Sum of operating_income</c:v>
          </c:tx>
          <c:spPr>
            <a:solidFill>
              <a:schemeClr val="accent4">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82473</c:v>
              </c:pt>
              <c:pt idx="1">
                <c:v>44674.559999999998</c:v>
              </c:pt>
              <c:pt idx="2">
                <c:v>46978</c:v>
              </c:pt>
              <c:pt idx="3">
                <c:v>322621</c:v>
              </c:pt>
              <c:pt idx="4">
                <c:v>-26975.19</c:v>
              </c:pt>
              <c:pt idx="5">
                <c:v>-12382.46</c:v>
              </c:pt>
              <c:pt idx="6">
                <c:v>58837.98</c:v>
              </c:pt>
              <c:pt idx="7">
                <c:v>70187</c:v>
              </c:pt>
              <c:pt idx="8">
                <c:v>49668.959999999999</c:v>
              </c:pt>
              <c:pt idx="9">
                <c:v>-259884</c:v>
              </c:pt>
            </c:numLit>
          </c:val>
          <c:extLst>
            <c:ext xmlns:c16="http://schemas.microsoft.com/office/drawing/2014/chart" uri="{C3380CC4-5D6E-409C-BE32-E72D297353CC}">
              <c16:uniqueId val="{000001DA-CE26-4B5A-A4DE-B0E82C734091}"/>
            </c:ext>
          </c:extLst>
        </c:ser>
        <c:ser>
          <c:idx val="34"/>
          <c:order val="34"/>
          <c:tx>
            <c:v>2013-Q2 - Sum of net_income</c:v>
          </c:tx>
          <c:spPr>
            <a:solidFill>
              <a:schemeClr val="accent5">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102209</c:v>
              </c:pt>
              <c:pt idx="1">
                <c:v>35109</c:v>
              </c:pt>
              <c:pt idx="2">
                <c:v>227756</c:v>
              </c:pt>
              <c:pt idx="3">
                <c:v>688701</c:v>
              </c:pt>
              <c:pt idx="4">
                <c:v>3009</c:v>
              </c:pt>
              <c:pt idx="5">
                <c:v>14531</c:v>
              </c:pt>
              <c:pt idx="6">
                <c:v>36352</c:v>
              </c:pt>
              <c:pt idx="7">
                <c:v>224025</c:v>
              </c:pt>
              <c:pt idx="8">
                <c:v>41965</c:v>
              </c:pt>
              <c:pt idx="9">
                <c:v>484017</c:v>
              </c:pt>
            </c:numLit>
          </c:val>
          <c:extLst>
            <c:ext xmlns:c16="http://schemas.microsoft.com/office/drawing/2014/chart" uri="{C3380CC4-5D6E-409C-BE32-E72D297353CC}">
              <c16:uniqueId val="{000001DB-CE26-4B5A-A4DE-B0E82C734091}"/>
            </c:ext>
          </c:extLst>
        </c:ser>
        <c:ser>
          <c:idx val="35"/>
          <c:order val="35"/>
          <c:tx>
            <c:v>2013-Q2 - Sum of operating_income</c:v>
          </c:tx>
          <c:spPr>
            <a:solidFill>
              <a:schemeClr val="accent6">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189469</c:v>
              </c:pt>
              <c:pt idx="1">
                <c:v>35424.6</c:v>
              </c:pt>
              <c:pt idx="2">
                <c:v>478048</c:v>
              </c:pt>
              <c:pt idx="3">
                <c:v>948977</c:v>
              </c:pt>
              <c:pt idx="4">
                <c:v>5692.91</c:v>
              </c:pt>
              <c:pt idx="5">
                <c:v>39584.990000000005</c:v>
              </c:pt>
              <c:pt idx="6">
                <c:v>93258.48</c:v>
              </c:pt>
              <c:pt idx="7">
                <c:v>432731</c:v>
              </c:pt>
              <c:pt idx="8">
                <c:v>66757.16</c:v>
              </c:pt>
              <c:pt idx="9">
                <c:v>771078.03</c:v>
              </c:pt>
            </c:numLit>
          </c:val>
          <c:extLst>
            <c:ext xmlns:c16="http://schemas.microsoft.com/office/drawing/2014/chart" uri="{C3380CC4-5D6E-409C-BE32-E72D297353CC}">
              <c16:uniqueId val="{000001DC-CE26-4B5A-A4DE-B0E82C734091}"/>
            </c:ext>
          </c:extLst>
        </c:ser>
        <c:ser>
          <c:idx val="36"/>
          <c:order val="36"/>
          <c:tx>
            <c:v>2013-Q3 - Sum of net_income</c:v>
          </c:tx>
          <c:spPr>
            <a:solidFill>
              <a:schemeClr val="accent1">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285315</c:v>
              </c:pt>
              <c:pt idx="1">
                <c:v>24310</c:v>
              </c:pt>
              <c:pt idx="2">
                <c:v>289839</c:v>
              </c:pt>
              <c:pt idx="3">
                <c:v>1371648</c:v>
              </c:pt>
              <c:pt idx="4">
                <c:v>23450</c:v>
              </c:pt>
              <c:pt idx="5">
                <c:v>42778</c:v>
              </c:pt>
              <c:pt idx="6">
                <c:v>70761</c:v>
              </c:pt>
              <c:pt idx="7">
                <c:v>259422</c:v>
              </c:pt>
              <c:pt idx="8">
                <c:v>54381</c:v>
              </c:pt>
              <c:pt idx="9">
                <c:v>377383</c:v>
              </c:pt>
            </c:numLit>
          </c:val>
          <c:extLst>
            <c:ext xmlns:c16="http://schemas.microsoft.com/office/drawing/2014/chart" uri="{C3380CC4-5D6E-409C-BE32-E72D297353CC}">
              <c16:uniqueId val="{000001DD-CE26-4B5A-A4DE-B0E82C734091}"/>
            </c:ext>
          </c:extLst>
        </c:ser>
        <c:ser>
          <c:idx val="37"/>
          <c:order val="37"/>
          <c:tx>
            <c:v>2013-Q3 - Sum of operating_income</c:v>
          </c:tx>
          <c:spPr>
            <a:solidFill>
              <a:schemeClr val="accent2">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453766</c:v>
              </c:pt>
              <c:pt idx="1">
                <c:v>24535.16</c:v>
              </c:pt>
              <c:pt idx="2">
                <c:v>682591</c:v>
              </c:pt>
              <c:pt idx="3">
                <c:v>1696529</c:v>
              </c:pt>
              <c:pt idx="4">
                <c:v>38801.619999999995</c:v>
              </c:pt>
              <c:pt idx="5">
                <c:v>75667.66</c:v>
              </c:pt>
              <c:pt idx="6">
                <c:v>151694.70000000001</c:v>
              </c:pt>
              <c:pt idx="7">
                <c:v>389727</c:v>
              </c:pt>
              <c:pt idx="8">
                <c:v>97803.520000000004</c:v>
              </c:pt>
              <c:pt idx="9">
                <c:v>510368.66000000003</c:v>
              </c:pt>
            </c:numLit>
          </c:val>
          <c:extLst>
            <c:ext xmlns:c16="http://schemas.microsoft.com/office/drawing/2014/chart" uri="{C3380CC4-5D6E-409C-BE32-E72D297353CC}">
              <c16:uniqueId val="{000001DE-CE26-4B5A-A4DE-B0E82C734091}"/>
            </c:ext>
          </c:extLst>
        </c:ser>
        <c:ser>
          <c:idx val="38"/>
          <c:order val="38"/>
          <c:tx>
            <c:v>2013-Q4 - Sum of net_income</c:v>
          </c:tx>
          <c:spPr>
            <a:solidFill>
              <a:schemeClr val="accent3">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75910</c:v>
              </c:pt>
              <c:pt idx="1">
                <c:v>26140</c:v>
              </c:pt>
              <c:pt idx="2">
                <c:v>-1790454</c:v>
              </c:pt>
              <c:pt idx="3">
                <c:v>8482125</c:v>
              </c:pt>
              <c:pt idx="4">
                <c:v>2529</c:v>
              </c:pt>
              <c:pt idx="5">
                <c:v>19398</c:v>
              </c:pt>
              <c:pt idx="6">
                <c:v>47014</c:v>
              </c:pt>
              <c:pt idx="7">
                <c:v>212494</c:v>
              </c:pt>
              <c:pt idx="8">
                <c:v>43193</c:v>
              </c:pt>
              <c:pt idx="9">
                <c:v>154178</c:v>
              </c:pt>
            </c:numLit>
          </c:val>
          <c:extLst>
            <c:ext xmlns:c16="http://schemas.microsoft.com/office/drawing/2014/chart" uri="{C3380CC4-5D6E-409C-BE32-E72D297353CC}">
              <c16:uniqueId val="{000001DF-CE26-4B5A-A4DE-B0E82C734091}"/>
            </c:ext>
          </c:extLst>
        </c:ser>
        <c:ser>
          <c:idx val="39"/>
          <c:order val="39"/>
          <c:tx>
            <c:v>2013-Q4 - Sum of operating_income</c:v>
          </c:tx>
          <c:spPr>
            <a:solidFill>
              <a:schemeClr val="accent4">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131315</c:v>
              </c:pt>
              <c:pt idx="1">
                <c:v>26940.89</c:v>
              </c:pt>
              <c:pt idx="2">
                <c:v>280716</c:v>
              </c:pt>
              <c:pt idx="3">
                <c:v>869555</c:v>
              </c:pt>
              <c:pt idx="4">
                <c:v>4995.1200000000008</c:v>
              </c:pt>
              <c:pt idx="5">
                <c:v>34335.110000000008</c:v>
              </c:pt>
              <c:pt idx="6">
                <c:v>110738.97</c:v>
              </c:pt>
              <c:pt idx="7">
                <c:v>385606</c:v>
              </c:pt>
              <c:pt idx="8">
                <c:v>68060.42</c:v>
              </c:pt>
              <c:pt idx="9">
                <c:v>237517.57</c:v>
              </c:pt>
            </c:numLit>
          </c:val>
          <c:extLst>
            <c:ext xmlns:c16="http://schemas.microsoft.com/office/drawing/2014/chart" uri="{C3380CC4-5D6E-409C-BE32-E72D297353CC}">
              <c16:uniqueId val="{000001E0-CE26-4B5A-A4DE-B0E82C734091}"/>
            </c:ext>
          </c:extLst>
        </c:ser>
        <c:ser>
          <c:idx val="40"/>
          <c:order val="40"/>
          <c:tx>
            <c:v>2014-Q1 - Sum of net_income</c:v>
          </c:tx>
          <c:spPr>
            <a:solidFill>
              <a:schemeClr val="accent5">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93305</c:v>
              </c:pt>
              <c:pt idx="1">
                <c:v>49528</c:v>
              </c:pt>
              <c:pt idx="2">
                <c:v>400689</c:v>
              </c:pt>
              <c:pt idx="3">
                <c:v>218132</c:v>
              </c:pt>
              <c:pt idx="4">
                <c:v>10156</c:v>
              </c:pt>
              <c:pt idx="5">
                <c:v>-2966</c:v>
              </c:pt>
              <c:pt idx="6">
                <c:v>-1200</c:v>
              </c:pt>
              <c:pt idx="7">
                <c:v>152441</c:v>
              </c:pt>
              <c:pt idx="8">
                <c:v>37706</c:v>
              </c:pt>
              <c:pt idx="9">
                <c:v>-579988</c:v>
              </c:pt>
            </c:numLit>
          </c:val>
          <c:extLst>
            <c:ext xmlns:c16="http://schemas.microsoft.com/office/drawing/2014/chart" uri="{C3380CC4-5D6E-409C-BE32-E72D297353CC}">
              <c16:uniqueId val="{000001E1-CE26-4B5A-A4DE-B0E82C734091}"/>
            </c:ext>
          </c:extLst>
        </c:ser>
        <c:ser>
          <c:idx val="41"/>
          <c:order val="41"/>
          <c:tx>
            <c:v>2014-Q1 - Sum of operating_income</c:v>
          </c:tx>
          <c:spPr>
            <a:solidFill>
              <a:schemeClr val="accent6">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146844</c:v>
              </c:pt>
              <c:pt idx="1">
                <c:v>50451.57</c:v>
              </c:pt>
              <c:pt idx="2">
                <c:v>577408</c:v>
              </c:pt>
              <c:pt idx="3">
                <c:v>671904</c:v>
              </c:pt>
              <c:pt idx="4">
                <c:v>17629.46</c:v>
              </c:pt>
              <c:pt idx="5">
                <c:v>11636.749999999996</c:v>
              </c:pt>
              <c:pt idx="6">
                <c:v>43411.23</c:v>
              </c:pt>
              <c:pt idx="7">
                <c:v>215415</c:v>
              </c:pt>
              <c:pt idx="8">
                <c:v>59953.24</c:v>
              </c:pt>
              <c:pt idx="9">
                <c:v>-340694.86</c:v>
              </c:pt>
            </c:numLit>
          </c:val>
          <c:extLst>
            <c:ext xmlns:c16="http://schemas.microsoft.com/office/drawing/2014/chart" uri="{C3380CC4-5D6E-409C-BE32-E72D297353CC}">
              <c16:uniqueId val="{000001E2-CE26-4B5A-A4DE-B0E82C734091}"/>
            </c:ext>
          </c:extLst>
        </c:ser>
        <c:ser>
          <c:idx val="42"/>
          <c:order val="42"/>
          <c:tx>
            <c:v>2014-Q2 - Sum of net_income</c:v>
          </c:tx>
          <c:spPr>
            <a:solidFill>
              <a:schemeClr val="accent1">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166041</c:v>
              </c:pt>
              <c:pt idx="1">
                <c:v>48559</c:v>
              </c:pt>
              <c:pt idx="2">
                <c:v>265411</c:v>
              </c:pt>
              <c:pt idx="3">
                <c:v>807422</c:v>
              </c:pt>
              <c:pt idx="4">
                <c:v>35124</c:v>
              </c:pt>
              <c:pt idx="5">
                <c:v>29761</c:v>
              </c:pt>
              <c:pt idx="6">
                <c:v>230641</c:v>
              </c:pt>
              <c:pt idx="7">
                <c:v>464994</c:v>
              </c:pt>
              <c:pt idx="8">
                <c:v>64849</c:v>
              </c:pt>
              <c:pt idx="9">
                <c:v>769231</c:v>
              </c:pt>
            </c:numLit>
          </c:val>
          <c:extLst>
            <c:ext xmlns:c16="http://schemas.microsoft.com/office/drawing/2014/chart" uri="{C3380CC4-5D6E-409C-BE32-E72D297353CC}">
              <c16:uniqueId val="{000001E3-CE26-4B5A-A4DE-B0E82C734091}"/>
            </c:ext>
          </c:extLst>
        </c:ser>
        <c:ser>
          <c:idx val="43"/>
          <c:order val="43"/>
          <c:tx>
            <c:v>2014-Q2 - Sum of operating_income</c:v>
          </c:tx>
          <c:spPr>
            <a:solidFill>
              <a:schemeClr val="accent2">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257466</c:v>
              </c:pt>
              <c:pt idx="1">
                <c:v>50213.23</c:v>
              </c:pt>
              <c:pt idx="2">
                <c:v>718119</c:v>
              </c:pt>
              <c:pt idx="3">
                <c:v>1615666</c:v>
              </c:pt>
              <c:pt idx="4">
                <c:v>57883.070000000007</c:v>
              </c:pt>
              <c:pt idx="5">
                <c:v>54078.84</c:v>
              </c:pt>
              <c:pt idx="6">
                <c:v>140501.99</c:v>
              </c:pt>
              <c:pt idx="7">
                <c:v>775373</c:v>
              </c:pt>
              <c:pt idx="8">
                <c:v>105144.14</c:v>
              </c:pt>
              <c:pt idx="9">
                <c:v>906073.08</c:v>
              </c:pt>
            </c:numLit>
          </c:val>
          <c:extLst>
            <c:ext xmlns:c16="http://schemas.microsoft.com/office/drawing/2014/chart" uri="{C3380CC4-5D6E-409C-BE32-E72D297353CC}">
              <c16:uniqueId val="{000001E4-CE26-4B5A-A4DE-B0E82C734091}"/>
            </c:ext>
          </c:extLst>
        </c:ser>
        <c:ser>
          <c:idx val="44"/>
          <c:order val="44"/>
          <c:tx>
            <c:v>2014-Q3 - Sum of net_income</c:v>
          </c:tx>
          <c:spPr>
            <a:solidFill>
              <a:schemeClr val="accent3">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191987</c:v>
              </c:pt>
              <c:pt idx="1">
                <c:v>22627</c:v>
              </c:pt>
              <c:pt idx="2">
                <c:v>465461</c:v>
              </c:pt>
              <c:pt idx="3">
                <c:v>361459</c:v>
              </c:pt>
              <c:pt idx="4">
                <c:v>58303</c:v>
              </c:pt>
              <c:pt idx="5">
                <c:v>38004</c:v>
              </c:pt>
              <c:pt idx="6">
                <c:v>78801</c:v>
              </c:pt>
              <c:pt idx="7">
                <c:v>328809</c:v>
              </c:pt>
              <c:pt idx="8">
                <c:v>66994</c:v>
              </c:pt>
              <c:pt idx="9">
                <c:v>933236</c:v>
              </c:pt>
            </c:numLit>
          </c:val>
          <c:extLst>
            <c:ext xmlns:c16="http://schemas.microsoft.com/office/drawing/2014/chart" uri="{C3380CC4-5D6E-409C-BE32-E72D297353CC}">
              <c16:uniqueId val="{000001E5-CE26-4B5A-A4DE-B0E82C734091}"/>
            </c:ext>
          </c:extLst>
        </c:ser>
        <c:ser>
          <c:idx val="45"/>
          <c:order val="45"/>
          <c:tx>
            <c:v>2014-Q3 - Sum of operating_income</c:v>
          </c:tx>
          <c:spPr>
            <a:solidFill>
              <a:schemeClr val="accent4">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314280</c:v>
              </c:pt>
              <c:pt idx="1">
                <c:v>25486.68</c:v>
              </c:pt>
              <c:pt idx="2">
                <c:v>697557</c:v>
              </c:pt>
              <c:pt idx="3">
                <c:v>1409299</c:v>
              </c:pt>
              <c:pt idx="4">
                <c:v>95653.48</c:v>
              </c:pt>
              <c:pt idx="5">
                <c:v>105676.99</c:v>
              </c:pt>
              <c:pt idx="6">
                <c:v>163330.23999999999</c:v>
              </c:pt>
              <c:pt idx="7">
                <c:v>614214</c:v>
              </c:pt>
              <c:pt idx="8">
                <c:v>100191.31999999999</c:v>
              </c:pt>
              <c:pt idx="9">
                <c:v>1184835.76</c:v>
              </c:pt>
            </c:numLit>
          </c:val>
          <c:extLst>
            <c:ext xmlns:c16="http://schemas.microsoft.com/office/drawing/2014/chart" uri="{C3380CC4-5D6E-409C-BE32-E72D297353CC}">
              <c16:uniqueId val="{000001E6-CE26-4B5A-A4DE-B0E82C734091}"/>
            </c:ext>
          </c:extLst>
        </c:ser>
        <c:ser>
          <c:idx val="46"/>
          <c:order val="46"/>
          <c:tx>
            <c:v>2014-Q4 - Sum of net_income</c:v>
          </c:tx>
          <c:spPr>
            <a:solidFill>
              <a:schemeClr val="accent5">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147116</c:v>
              </c:pt>
              <c:pt idx="1">
                <c:v>7174</c:v>
              </c:pt>
              <c:pt idx="2">
                <c:v>178177</c:v>
              </c:pt>
              <c:pt idx="3">
                <c:v>-702544</c:v>
              </c:pt>
              <c:pt idx="4">
                <c:v>25446</c:v>
              </c:pt>
              <c:pt idx="5">
                <c:v>14988</c:v>
              </c:pt>
              <c:pt idx="6">
                <c:v>87388</c:v>
              </c:pt>
              <c:pt idx="7">
                <c:v>190257</c:v>
              </c:pt>
              <c:pt idx="8">
                <c:v>57802</c:v>
              </c:pt>
              <c:pt idx="9">
                <c:v>-8662</c:v>
              </c:pt>
            </c:numLit>
          </c:val>
          <c:extLst>
            <c:ext xmlns:c16="http://schemas.microsoft.com/office/drawing/2014/chart" uri="{C3380CC4-5D6E-409C-BE32-E72D297353CC}">
              <c16:uniqueId val="{000001E7-CE26-4B5A-A4DE-B0E82C734091}"/>
            </c:ext>
          </c:extLst>
        </c:ser>
        <c:ser>
          <c:idx val="47"/>
          <c:order val="47"/>
          <c:tx>
            <c:v>2014-Q4 - Sum of operating_income</c:v>
          </c:tx>
          <c:spPr>
            <a:solidFill>
              <a:schemeClr val="accent6">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239735</c:v>
              </c:pt>
              <c:pt idx="1">
                <c:v>12031.1</c:v>
              </c:pt>
              <c:pt idx="2">
                <c:v>344535</c:v>
              </c:pt>
              <c:pt idx="3">
                <c:v>-772361</c:v>
              </c:pt>
              <c:pt idx="4">
                <c:v>39029.120000000003</c:v>
              </c:pt>
              <c:pt idx="5">
                <c:v>77448.63</c:v>
              </c:pt>
              <c:pt idx="6">
                <c:v>160651.54999999999</c:v>
              </c:pt>
              <c:pt idx="7">
                <c:v>620291</c:v>
              </c:pt>
              <c:pt idx="8">
                <c:v>89975.31</c:v>
              </c:pt>
              <c:pt idx="9">
                <c:v>625651.40999999992</c:v>
              </c:pt>
            </c:numLit>
          </c:val>
          <c:extLst>
            <c:ext xmlns:c16="http://schemas.microsoft.com/office/drawing/2014/chart" uri="{C3380CC4-5D6E-409C-BE32-E72D297353CC}">
              <c16:uniqueId val="{000001E8-CE26-4B5A-A4DE-B0E82C734091}"/>
            </c:ext>
          </c:extLst>
        </c:ser>
        <c:ser>
          <c:idx val="48"/>
          <c:order val="48"/>
          <c:tx>
            <c:v>2015-Q1 - Sum of net_income</c:v>
          </c:tx>
          <c:spPr>
            <a:solidFill>
              <a:schemeClr val="accent1">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145466</c:v>
              </c:pt>
              <c:pt idx="1">
                <c:v>99824</c:v>
              </c:pt>
              <c:pt idx="2">
                <c:v>568888</c:v>
              </c:pt>
              <c:pt idx="3">
                <c:v>744504</c:v>
              </c:pt>
              <c:pt idx="4">
                <c:v>30810</c:v>
              </c:pt>
              <c:pt idx="5">
                <c:v>32651</c:v>
              </c:pt>
              <c:pt idx="6">
                <c:v>137003</c:v>
              </c:pt>
              <c:pt idx="7">
                <c:v>452936</c:v>
              </c:pt>
              <c:pt idx="8">
                <c:v>69002</c:v>
              </c:pt>
              <c:pt idx="9">
                <c:v>509296</c:v>
              </c:pt>
            </c:numLit>
          </c:val>
          <c:extLst>
            <c:ext xmlns:c16="http://schemas.microsoft.com/office/drawing/2014/chart" uri="{C3380CC4-5D6E-409C-BE32-E72D297353CC}">
              <c16:uniqueId val="{000001E9-CE26-4B5A-A4DE-B0E82C734091}"/>
            </c:ext>
          </c:extLst>
        </c:ser>
        <c:ser>
          <c:idx val="49"/>
          <c:order val="49"/>
          <c:tx>
            <c:v>2015-Q1 - Sum of operating_income</c:v>
          </c:tx>
          <c:spPr>
            <a:solidFill>
              <a:schemeClr val="accent2">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238150</c:v>
              </c:pt>
              <c:pt idx="1">
                <c:v>102576.94</c:v>
              </c:pt>
              <c:pt idx="2">
                <c:v>760228.79</c:v>
              </c:pt>
              <c:pt idx="3">
                <c:v>1404428</c:v>
              </c:pt>
              <c:pt idx="4">
                <c:v>50401.03</c:v>
              </c:pt>
              <c:pt idx="5">
                <c:v>72014.23</c:v>
              </c:pt>
              <c:pt idx="6">
                <c:v>243602.40999999997</c:v>
              </c:pt>
              <c:pt idx="7">
                <c:v>780327</c:v>
              </c:pt>
              <c:pt idx="8">
                <c:v>109251.18000000001</c:v>
              </c:pt>
              <c:pt idx="9">
                <c:v>740717.99</c:v>
              </c:pt>
            </c:numLit>
          </c:val>
          <c:extLst>
            <c:ext xmlns:c16="http://schemas.microsoft.com/office/drawing/2014/chart" uri="{C3380CC4-5D6E-409C-BE32-E72D297353CC}">
              <c16:uniqueId val="{000001EA-CE26-4B5A-A4DE-B0E82C734091}"/>
            </c:ext>
          </c:extLst>
        </c:ser>
        <c:ser>
          <c:idx val="50"/>
          <c:order val="50"/>
          <c:tx>
            <c:v>2015-Q2 - Sum of net_income</c:v>
          </c:tx>
          <c:spPr>
            <a:solidFill>
              <a:schemeClr val="accent3">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228355</c:v>
              </c:pt>
              <c:pt idx="1">
                <c:v>83613</c:v>
              </c:pt>
              <c:pt idx="2">
                <c:v>1051543</c:v>
              </c:pt>
              <c:pt idx="3">
                <c:v>1487293</c:v>
              </c:pt>
              <c:pt idx="4">
                <c:v>59711</c:v>
              </c:pt>
              <c:pt idx="5">
                <c:v>50162</c:v>
              </c:pt>
              <c:pt idx="6">
                <c:v>151979</c:v>
              </c:pt>
              <c:pt idx="7">
                <c:v>608030</c:v>
              </c:pt>
              <c:pt idx="8">
                <c:v>76704</c:v>
              </c:pt>
              <c:pt idx="9">
                <c:v>1192981</c:v>
              </c:pt>
            </c:numLit>
          </c:val>
          <c:extLst>
            <c:ext xmlns:c16="http://schemas.microsoft.com/office/drawing/2014/chart" uri="{C3380CC4-5D6E-409C-BE32-E72D297353CC}">
              <c16:uniqueId val="{000001EB-CE26-4B5A-A4DE-B0E82C734091}"/>
            </c:ext>
          </c:extLst>
        </c:ser>
        <c:ser>
          <c:idx val="51"/>
          <c:order val="51"/>
          <c:tx>
            <c:v>2015-Q2 - Sum of operating_income</c:v>
          </c:tx>
          <c:spPr>
            <a:solidFill>
              <a:schemeClr val="accent4">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362418</c:v>
              </c:pt>
              <c:pt idx="1">
                <c:v>87363.13</c:v>
              </c:pt>
              <c:pt idx="2">
                <c:v>1205547.3</c:v>
              </c:pt>
              <c:pt idx="3">
                <c:v>2496242</c:v>
              </c:pt>
              <c:pt idx="4">
                <c:v>90720.19</c:v>
              </c:pt>
              <c:pt idx="5">
                <c:v>92376.260000000009</c:v>
              </c:pt>
              <c:pt idx="6">
                <c:v>281960.65000000002</c:v>
              </c:pt>
              <c:pt idx="7">
                <c:v>1085036</c:v>
              </c:pt>
              <c:pt idx="8">
                <c:v>122314.82999999999</c:v>
              </c:pt>
              <c:pt idx="9">
                <c:v>1445610.78</c:v>
              </c:pt>
            </c:numLit>
          </c:val>
          <c:extLst>
            <c:ext xmlns:c16="http://schemas.microsoft.com/office/drawing/2014/chart" uri="{C3380CC4-5D6E-409C-BE32-E72D297353CC}">
              <c16:uniqueId val="{000001EC-CE26-4B5A-A4DE-B0E82C734091}"/>
            </c:ext>
          </c:extLst>
        </c:ser>
        <c:ser>
          <c:idx val="52"/>
          <c:order val="52"/>
          <c:tx>
            <c:v>2015-Q3 - Sum of net_income</c:v>
          </c:tx>
          <c:spPr>
            <a:solidFill>
              <a:schemeClr val="accent5">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267766</c:v>
              </c:pt>
              <c:pt idx="1">
                <c:v>70421</c:v>
              </c:pt>
              <c:pt idx="2">
                <c:v>1722143</c:v>
              </c:pt>
              <c:pt idx="3">
                <c:v>1319219</c:v>
              </c:pt>
              <c:pt idx="4">
                <c:v>35547</c:v>
              </c:pt>
              <c:pt idx="5">
                <c:v>71098</c:v>
              </c:pt>
              <c:pt idx="6">
                <c:v>198103</c:v>
              </c:pt>
              <c:pt idx="7">
                <c:v>584354</c:v>
              </c:pt>
              <c:pt idx="8">
                <c:v>102823</c:v>
              </c:pt>
              <c:pt idx="9">
                <c:v>4775505</c:v>
              </c:pt>
            </c:numLit>
          </c:val>
          <c:extLst>
            <c:ext xmlns:c16="http://schemas.microsoft.com/office/drawing/2014/chart" uri="{C3380CC4-5D6E-409C-BE32-E72D297353CC}">
              <c16:uniqueId val="{000001ED-CE26-4B5A-A4DE-B0E82C734091}"/>
            </c:ext>
          </c:extLst>
        </c:ser>
        <c:ser>
          <c:idx val="53"/>
          <c:order val="53"/>
          <c:tx>
            <c:v>2015-Q3 - Sum of operating_income</c:v>
          </c:tx>
          <c:spPr>
            <a:solidFill>
              <a:schemeClr val="accent6">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432569</c:v>
              </c:pt>
              <c:pt idx="1">
                <c:v>73212.94</c:v>
              </c:pt>
              <c:pt idx="2">
                <c:v>2002746.68</c:v>
              </c:pt>
              <c:pt idx="3">
                <c:v>2222326</c:v>
              </c:pt>
              <c:pt idx="4">
                <c:v>94979.33</c:v>
              </c:pt>
              <c:pt idx="5">
                <c:v>156130.66999999998</c:v>
              </c:pt>
              <c:pt idx="6">
                <c:v>349998.02</c:v>
              </c:pt>
              <c:pt idx="7">
                <c:v>1224900</c:v>
              </c:pt>
              <c:pt idx="8">
                <c:v>157218.97</c:v>
              </c:pt>
              <c:pt idx="9">
                <c:v>1899591.2200000002</c:v>
              </c:pt>
            </c:numLit>
          </c:val>
          <c:extLst>
            <c:ext xmlns:c16="http://schemas.microsoft.com/office/drawing/2014/chart" uri="{C3380CC4-5D6E-409C-BE32-E72D297353CC}">
              <c16:uniqueId val="{000001EE-CE26-4B5A-A4DE-B0E82C734091}"/>
            </c:ext>
          </c:extLst>
        </c:ser>
        <c:ser>
          <c:idx val="54"/>
          <c:order val="54"/>
          <c:tx>
            <c:v>2015-Q4 - Sum of net_income</c:v>
          </c:tx>
          <c:spPr>
            <a:solidFill>
              <a:schemeClr val="accent1"/>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186933</c:v>
              </c:pt>
              <c:pt idx="1">
                <c:v>90094</c:v>
              </c:pt>
              <c:pt idx="2">
                <c:v>3750106</c:v>
              </c:pt>
              <c:pt idx="3">
                <c:v>987477</c:v>
              </c:pt>
              <c:pt idx="4">
                <c:v>19445</c:v>
              </c:pt>
              <c:pt idx="5">
                <c:v>38956</c:v>
              </c:pt>
              <c:pt idx="6">
                <c:v>190007</c:v>
              </c:pt>
              <c:pt idx="7">
                <c:v>535958</c:v>
              </c:pt>
              <c:pt idx="8">
                <c:v>78781</c:v>
              </c:pt>
              <c:pt idx="9">
                <c:v>823605</c:v>
              </c:pt>
            </c:numLit>
          </c:val>
          <c:extLst>
            <c:ext xmlns:c16="http://schemas.microsoft.com/office/drawing/2014/chart" uri="{C3380CC4-5D6E-409C-BE32-E72D297353CC}">
              <c16:uniqueId val="{000001EF-CE26-4B5A-A4DE-B0E82C734091}"/>
            </c:ext>
          </c:extLst>
        </c:ser>
        <c:ser>
          <c:idx val="55"/>
          <c:order val="55"/>
          <c:tx>
            <c:v>2015-Q4 - Sum of operating_income</c:v>
          </c:tx>
          <c:spPr>
            <a:solidFill>
              <a:schemeClr val="accent2"/>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258046</c:v>
              </c:pt>
              <c:pt idx="1">
                <c:v>91974.11</c:v>
              </c:pt>
              <c:pt idx="2">
                <c:v>1063357.77</c:v>
              </c:pt>
              <c:pt idx="3">
                <c:v>1721657</c:v>
              </c:pt>
              <c:pt idx="4">
                <c:v>39802.76</c:v>
              </c:pt>
              <c:pt idx="5">
                <c:v>110502.3</c:v>
              </c:pt>
              <c:pt idx="6">
                <c:v>322799.28999999998</c:v>
              </c:pt>
              <c:pt idx="7">
                <c:v>1026205</c:v>
              </c:pt>
              <c:pt idx="8">
                <c:v>120336.92000000001</c:v>
              </c:pt>
              <c:pt idx="9">
                <c:v>1081373.6499999999</c:v>
              </c:pt>
            </c:numLit>
          </c:val>
          <c:extLst>
            <c:ext xmlns:c16="http://schemas.microsoft.com/office/drawing/2014/chart" uri="{C3380CC4-5D6E-409C-BE32-E72D297353CC}">
              <c16:uniqueId val="{000001F0-CE26-4B5A-A4DE-B0E82C734091}"/>
            </c:ext>
          </c:extLst>
        </c:ser>
        <c:ser>
          <c:idx val="56"/>
          <c:order val="56"/>
          <c:tx>
            <c:v>2016-Q1 - Sum of net_income</c:v>
          </c:tx>
          <c:spPr>
            <a:solidFill>
              <a:schemeClr val="accent3"/>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185275</c:v>
              </c:pt>
              <c:pt idx="1">
                <c:v>112370</c:v>
              </c:pt>
              <c:pt idx="2">
                <c:v>710272</c:v>
              </c:pt>
              <c:pt idx="3">
                <c:v>955182</c:v>
              </c:pt>
              <c:pt idx="4">
                <c:v>38530</c:v>
              </c:pt>
              <c:pt idx="5">
                <c:v>53016</c:v>
              </c:pt>
              <c:pt idx="6">
                <c:v>199459</c:v>
              </c:pt>
              <c:pt idx="7">
                <c:v>511338</c:v>
              </c:pt>
              <c:pt idx="8">
                <c:v>61920</c:v>
              </c:pt>
              <c:pt idx="9">
                <c:v>313862</c:v>
              </c:pt>
            </c:numLit>
          </c:val>
          <c:extLst>
            <c:ext xmlns:c16="http://schemas.microsoft.com/office/drawing/2014/chart" uri="{C3380CC4-5D6E-409C-BE32-E72D297353CC}">
              <c16:uniqueId val="{000001F1-CE26-4B5A-A4DE-B0E82C734091}"/>
            </c:ext>
          </c:extLst>
        </c:ser>
        <c:ser>
          <c:idx val="57"/>
          <c:order val="57"/>
          <c:tx>
            <c:v>2016-Q1 - Sum of operating_income</c:v>
          </c:tx>
          <c:spPr>
            <a:solidFill>
              <a:schemeClr val="accent4"/>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298847</c:v>
              </c:pt>
              <c:pt idx="1">
                <c:v>115497.38</c:v>
              </c:pt>
              <c:pt idx="2">
                <c:v>1323156</c:v>
              </c:pt>
              <c:pt idx="3">
                <c:v>1544323</c:v>
              </c:pt>
              <c:pt idx="4">
                <c:v>62179.08</c:v>
              </c:pt>
              <c:pt idx="5">
                <c:v>95334.569999999992</c:v>
              </c:pt>
              <c:pt idx="6">
                <c:v>348927.07</c:v>
              </c:pt>
              <c:pt idx="7">
                <c:v>943814</c:v>
              </c:pt>
              <c:pt idx="8">
                <c:v>101299.4</c:v>
              </c:pt>
              <c:pt idx="9">
                <c:v>649435.35</c:v>
              </c:pt>
            </c:numLit>
          </c:val>
          <c:extLst>
            <c:ext xmlns:c16="http://schemas.microsoft.com/office/drawing/2014/chart" uri="{C3380CC4-5D6E-409C-BE32-E72D297353CC}">
              <c16:uniqueId val="{000001F2-CE26-4B5A-A4DE-B0E82C734091}"/>
            </c:ext>
          </c:extLst>
        </c:ser>
        <c:ser>
          <c:idx val="58"/>
          <c:order val="58"/>
          <c:tx>
            <c:v>2016-Q2 - Sum of net_income</c:v>
          </c:tx>
          <c:spPr>
            <a:solidFill>
              <a:schemeClr val="accent5"/>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263872</c:v>
              </c:pt>
              <c:pt idx="1">
                <c:v>93676</c:v>
              </c:pt>
              <c:pt idx="2">
                <c:v>972247</c:v>
              </c:pt>
              <c:pt idx="3">
                <c:v>1552513</c:v>
              </c:pt>
              <c:pt idx="4">
                <c:v>52423</c:v>
              </c:pt>
              <c:pt idx="5">
                <c:v>80739</c:v>
              </c:pt>
              <c:pt idx="6">
                <c:v>180169</c:v>
              </c:pt>
              <c:pt idx="7">
                <c:v>820063</c:v>
              </c:pt>
              <c:pt idx="8">
                <c:v>73084</c:v>
              </c:pt>
              <c:pt idx="9">
                <c:v>588122</c:v>
              </c:pt>
            </c:numLit>
          </c:val>
          <c:extLst>
            <c:ext xmlns:c16="http://schemas.microsoft.com/office/drawing/2014/chart" uri="{C3380CC4-5D6E-409C-BE32-E72D297353CC}">
              <c16:uniqueId val="{000001F3-CE26-4B5A-A4DE-B0E82C734091}"/>
            </c:ext>
          </c:extLst>
        </c:ser>
        <c:ser>
          <c:idx val="59"/>
          <c:order val="59"/>
          <c:tx>
            <c:v>2016-Q2 - Sum of operating_income</c:v>
          </c:tx>
          <c:spPr>
            <a:solidFill>
              <a:schemeClr val="accent6"/>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417763</c:v>
              </c:pt>
              <c:pt idx="1">
                <c:v>97699.59</c:v>
              </c:pt>
              <c:pt idx="2">
                <c:v>1757273.4100000001</c:v>
              </c:pt>
              <c:pt idx="3">
                <c:v>2423691</c:v>
              </c:pt>
              <c:pt idx="4">
                <c:v>83986.15</c:v>
              </c:pt>
              <c:pt idx="5">
                <c:v>121457.21</c:v>
              </c:pt>
              <c:pt idx="6">
                <c:v>310026.98</c:v>
              </c:pt>
              <c:pt idx="7">
                <c:v>1275954</c:v>
              </c:pt>
              <c:pt idx="8">
                <c:v>121834.90999999999</c:v>
              </c:pt>
              <c:pt idx="9">
                <c:v>1060392.6299999999</c:v>
              </c:pt>
            </c:numLit>
          </c:val>
          <c:extLst>
            <c:ext xmlns:c16="http://schemas.microsoft.com/office/drawing/2014/chart" uri="{C3380CC4-5D6E-409C-BE32-E72D297353CC}">
              <c16:uniqueId val="{000001F4-CE26-4B5A-A4DE-B0E82C734091}"/>
            </c:ext>
          </c:extLst>
        </c:ser>
        <c:ser>
          <c:idx val="60"/>
          <c:order val="60"/>
          <c:tx>
            <c:v>2016-Q3 - Sum of net_income</c:v>
          </c:tx>
          <c:spPr>
            <a:solidFill>
              <a:schemeClr val="accent1">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265253</c:v>
              </c:pt>
              <c:pt idx="1">
                <c:v>69324</c:v>
              </c:pt>
              <c:pt idx="2">
                <c:v>758111</c:v>
              </c:pt>
              <c:pt idx="3">
                <c:v>1269304</c:v>
              </c:pt>
              <c:pt idx="4">
                <c:v>78945</c:v>
              </c:pt>
              <c:pt idx="5">
                <c:v>103518</c:v>
              </c:pt>
              <c:pt idx="6">
                <c:v>198980</c:v>
              </c:pt>
              <c:pt idx="7">
                <c:v>388246</c:v>
              </c:pt>
              <c:pt idx="8">
                <c:v>81382</c:v>
              </c:pt>
              <c:pt idx="9">
                <c:v>965010</c:v>
              </c:pt>
            </c:numLit>
          </c:val>
          <c:extLst>
            <c:ext xmlns:c16="http://schemas.microsoft.com/office/drawing/2014/chart" uri="{C3380CC4-5D6E-409C-BE32-E72D297353CC}">
              <c16:uniqueId val="{000001F5-CE26-4B5A-A4DE-B0E82C734091}"/>
            </c:ext>
          </c:extLst>
        </c:ser>
        <c:ser>
          <c:idx val="61"/>
          <c:order val="61"/>
          <c:tx>
            <c:v>2016-Q3 - Sum of operating_income</c:v>
          </c:tx>
          <c:spPr>
            <a:solidFill>
              <a:schemeClr val="accent2">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422644</c:v>
              </c:pt>
              <c:pt idx="1">
                <c:v>71859.289999999994</c:v>
              </c:pt>
              <c:pt idx="2">
                <c:v>1432349.56</c:v>
              </c:pt>
              <c:pt idx="3">
                <c:v>1979077</c:v>
              </c:pt>
              <c:pt idx="4">
                <c:v>125527.89</c:v>
              </c:pt>
              <c:pt idx="5">
                <c:v>177784.94</c:v>
              </c:pt>
              <c:pt idx="6">
                <c:v>354436.89</c:v>
              </c:pt>
              <c:pt idx="7">
                <c:v>694433</c:v>
              </c:pt>
              <c:pt idx="8">
                <c:v>135215.95000000001</c:v>
              </c:pt>
              <c:pt idx="9">
                <c:v>1624684.28</c:v>
              </c:pt>
            </c:numLit>
          </c:val>
          <c:extLst>
            <c:ext xmlns:c16="http://schemas.microsoft.com/office/drawing/2014/chart" uri="{C3380CC4-5D6E-409C-BE32-E72D297353CC}">
              <c16:uniqueId val="{000001F6-CE26-4B5A-A4DE-B0E82C734091}"/>
            </c:ext>
          </c:extLst>
        </c:ser>
        <c:ser>
          <c:idx val="62"/>
          <c:order val="62"/>
          <c:tx>
            <c:v>2016-Q4 - Sum of net_income</c:v>
          </c:tx>
          <c:spPr>
            <a:solidFill>
              <a:schemeClr val="accent3">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164942</c:v>
              </c:pt>
              <c:pt idx="1">
                <c:v>60892</c:v>
              </c:pt>
              <c:pt idx="2">
                <c:v>340583</c:v>
              </c:pt>
              <c:pt idx="3">
                <c:v>632847</c:v>
              </c:pt>
              <c:pt idx="4">
                <c:v>32721</c:v>
              </c:pt>
              <c:pt idx="5">
                <c:v>3168</c:v>
              </c:pt>
              <c:pt idx="6">
                <c:v>180020</c:v>
              </c:pt>
              <c:pt idx="7">
                <c:v>522340</c:v>
              </c:pt>
              <c:pt idx="8">
                <c:v>48493</c:v>
              </c:pt>
              <c:pt idx="9">
                <c:v>396936</c:v>
              </c:pt>
            </c:numLit>
          </c:val>
          <c:extLst>
            <c:ext xmlns:c16="http://schemas.microsoft.com/office/drawing/2014/chart" uri="{C3380CC4-5D6E-409C-BE32-E72D297353CC}">
              <c16:uniqueId val="{000001F7-CE26-4B5A-A4DE-B0E82C734091}"/>
            </c:ext>
          </c:extLst>
        </c:ser>
        <c:ser>
          <c:idx val="63"/>
          <c:order val="63"/>
          <c:tx>
            <c:v>2016-Q4 - Sum of operating_income</c:v>
          </c:tx>
          <c:spPr>
            <a:solidFill>
              <a:schemeClr val="accent4">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298506</c:v>
              </c:pt>
              <c:pt idx="1">
                <c:v>63277.16</c:v>
              </c:pt>
              <c:pt idx="2">
                <c:v>791407.43</c:v>
              </c:pt>
              <c:pt idx="3">
                <c:v>1029340</c:v>
              </c:pt>
              <c:pt idx="4">
                <c:v>48631.93</c:v>
              </c:pt>
              <c:pt idx="5">
                <c:v>81131.179999999993</c:v>
              </c:pt>
              <c:pt idx="6">
                <c:v>294724.09999999998</c:v>
              </c:pt>
              <c:pt idx="7">
                <c:v>845884</c:v>
              </c:pt>
              <c:pt idx="8">
                <c:v>85310.77</c:v>
              </c:pt>
              <c:pt idx="9">
                <c:v>1006184.22</c:v>
              </c:pt>
            </c:numLit>
          </c:val>
          <c:extLst>
            <c:ext xmlns:c16="http://schemas.microsoft.com/office/drawing/2014/chart" uri="{C3380CC4-5D6E-409C-BE32-E72D297353CC}">
              <c16:uniqueId val="{000001F8-CE26-4B5A-A4DE-B0E82C734091}"/>
            </c:ext>
          </c:extLst>
        </c:ser>
        <c:ser>
          <c:idx val="64"/>
          <c:order val="64"/>
          <c:tx>
            <c:v>2017-Q1 - Sum of net_income</c:v>
          </c:tx>
          <c:spPr>
            <a:solidFill>
              <a:schemeClr val="accent5">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122665</c:v>
              </c:pt>
              <c:pt idx="1">
                <c:v>63745</c:v>
              </c:pt>
              <c:pt idx="2">
                <c:v>262590</c:v>
              </c:pt>
              <c:pt idx="3">
                <c:v>615913</c:v>
              </c:pt>
              <c:pt idx="4">
                <c:v>-237</c:v>
              </c:pt>
              <c:pt idx="5">
                <c:v>38963</c:v>
              </c:pt>
              <c:pt idx="6">
                <c:v>85276</c:v>
              </c:pt>
              <c:pt idx="7">
                <c:v>351464</c:v>
              </c:pt>
              <c:pt idx="8">
                <c:v>31935</c:v>
              </c:pt>
              <c:pt idx="9">
                <c:v>96745</c:v>
              </c:pt>
            </c:numLit>
          </c:val>
          <c:extLst>
            <c:ext xmlns:c16="http://schemas.microsoft.com/office/drawing/2014/chart" uri="{C3380CC4-5D6E-409C-BE32-E72D297353CC}">
              <c16:uniqueId val="{000001F9-CE26-4B5A-A4DE-B0E82C734091}"/>
            </c:ext>
          </c:extLst>
        </c:ser>
        <c:ser>
          <c:idx val="65"/>
          <c:order val="65"/>
          <c:tx>
            <c:v>2017-Q1 - Sum of operating_income</c:v>
          </c:tx>
          <c:spPr>
            <a:solidFill>
              <a:schemeClr val="accent6">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215242</c:v>
              </c:pt>
              <c:pt idx="1">
                <c:v>66051.240000000005</c:v>
              </c:pt>
              <c:pt idx="2">
                <c:v>603777.14</c:v>
              </c:pt>
              <c:pt idx="3">
                <c:v>1067917</c:v>
              </c:pt>
              <c:pt idx="4">
                <c:v>-2698.0099999999993</c:v>
              </c:pt>
              <c:pt idx="5">
                <c:v>71867.049999999988</c:v>
              </c:pt>
              <c:pt idx="6">
                <c:v>147605.04999999999</c:v>
              </c:pt>
              <c:pt idx="7">
                <c:v>658021</c:v>
              </c:pt>
              <c:pt idx="8">
                <c:v>59405.279999999999</c:v>
              </c:pt>
              <c:pt idx="9">
                <c:v>278363.26</c:v>
              </c:pt>
            </c:numLit>
          </c:val>
          <c:extLst>
            <c:ext xmlns:c16="http://schemas.microsoft.com/office/drawing/2014/chart" uri="{C3380CC4-5D6E-409C-BE32-E72D297353CC}">
              <c16:uniqueId val="{000001FA-CE26-4B5A-A4DE-B0E82C734091}"/>
            </c:ext>
          </c:extLst>
        </c:ser>
        <c:ser>
          <c:idx val="66"/>
          <c:order val="66"/>
          <c:tx>
            <c:v>2017-Q2 - Sum of net_income</c:v>
          </c:tx>
          <c:spPr>
            <a:solidFill>
              <a:schemeClr val="accent1">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273678</c:v>
              </c:pt>
              <c:pt idx="1">
                <c:v>73787</c:v>
              </c:pt>
              <c:pt idx="2">
                <c:v>826895</c:v>
              </c:pt>
              <c:pt idx="3">
                <c:v>1235513</c:v>
              </c:pt>
              <c:pt idx="4">
                <c:v>70019</c:v>
              </c:pt>
              <c:pt idx="5">
                <c:v>81839</c:v>
              </c:pt>
              <c:pt idx="6">
                <c:v>210805</c:v>
              </c:pt>
              <c:pt idx="7">
                <c:v>746032</c:v>
              </c:pt>
              <c:pt idx="8">
                <c:v>94209</c:v>
              </c:pt>
              <c:pt idx="9">
                <c:v>818180</c:v>
              </c:pt>
            </c:numLit>
          </c:val>
          <c:extLst>
            <c:ext xmlns:c16="http://schemas.microsoft.com/office/drawing/2014/chart" uri="{C3380CC4-5D6E-409C-BE32-E72D297353CC}">
              <c16:uniqueId val="{000001FB-CE26-4B5A-A4DE-B0E82C734091}"/>
            </c:ext>
          </c:extLst>
        </c:ser>
        <c:ser>
          <c:idx val="67"/>
          <c:order val="67"/>
          <c:tx>
            <c:v>2017-Q2 - Sum of operating_income</c:v>
          </c:tx>
          <c:spPr>
            <a:solidFill>
              <a:schemeClr val="accent2">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463667</c:v>
              </c:pt>
              <c:pt idx="1">
                <c:v>76865.039999999994</c:v>
              </c:pt>
              <c:pt idx="2">
                <c:v>1526949.72</c:v>
              </c:pt>
              <c:pt idx="3">
                <c:v>2036048</c:v>
              </c:pt>
              <c:pt idx="4">
                <c:v>110120.18999999999</c:v>
              </c:pt>
              <c:pt idx="5">
                <c:v>149368.47999999998</c:v>
              </c:pt>
              <c:pt idx="6">
                <c:v>354018.68</c:v>
              </c:pt>
              <c:pt idx="7">
                <c:v>1249863</c:v>
              </c:pt>
              <c:pt idx="8">
                <c:v>131442.64000000001</c:v>
              </c:pt>
              <c:pt idx="9">
                <c:v>1399762.15</c:v>
              </c:pt>
            </c:numLit>
          </c:val>
          <c:extLst>
            <c:ext xmlns:c16="http://schemas.microsoft.com/office/drawing/2014/chart" uri="{C3380CC4-5D6E-409C-BE32-E72D297353CC}">
              <c16:uniqueId val="{000001FC-CE26-4B5A-A4DE-B0E82C734091}"/>
            </c:ext>
          </c:extLst>
        </c:ser>
        <c:ser>
          <c:idx val="68"/>
          <c:order val="68"/>
          <c:tx>
            <c:v>2017-Q3 - Sum of net_income</c:v>
          </c:tx>
          <c:spPr>
            <a:solidFill>
              <a:schemeClr val="accent3">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251732</c:v>
              </c:pt>
              <c:pt idx="1">
                <c:v>31430</c:v>
              </c:pt>
              <c:pt idx="2">
                <c:v>648700</c:v>
              </c:pt>
              <c:pt idx="3">
                <c:v>1191398</c:v>
              </c:pt>
              <c:pt idx="4">
                <c:v>66331</c:v>
              </c:pt>
              <c:pt idx="5">
                <c:v>75779</c:v>
              </c:pt>
              <c:pt idx="6">
                <c:v>178785</c:v>
              </c:pt>
              <c:pt idx="7">
                <c:v>502605</c:v>
              </c:pt>
              <c:pt idx="8">
                <c:v>60190</c:v>
              </c:pt>
              <c:pt idx="9">
                <c:v>637510</c:v>
              </c:pt>
            </c:numLit>
          </c:val>
          <c:extLst>
            <c:ext xmlns:c16="http://schemas.microsoft.com/office/drawing/2014/chart" uri="{C3380CC4-5D6E-409C-BE32-E72D297353CC}">
              <c16:uniqueId val="{000001FD-CE26-4B5A-A4DE-B0E82C734091}"/>
            </c:ext>
          </c:extLst>
        </c:ser>
        <c:ser>
          <c:idx val="69"/>
          <c:order val="69"/>
          <c:tx>
            <c:v>2017-Q3 - Sum of operating_income</c:v>
          </c:tx>
          <c:spPr>
            <a:solidFill>
              <a:schemeClr val="accent4">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420921</c:v>
              </c:pt>
              <c:pt idx="1">
                <c:v>35082.519999999997</c:v>
              </c:pt>
              <c:pt idx="2">
                <c:v>1224775.9500000002</c:v>
              </c:pt>
              <c:pt idx="3">
                <c:v>1847431</c:v>
              </c:pt>
              <c:pt idx="4">
                <c:v>103680.87</c:v>
              </c:pt>
              <c:pt idx="5">
                <c:v>175580.79</c:v>
              </c:pt>
              <c:pt idx="6">
                <c:v>302364.98</c:v>
              </c:pt>
              <c:pt idx="7">
                <c:v>834103</c:v>
              </c:pt>
              <c:pt idx="8">
                <c:v>104103.40999999999</c:v>
              </c:pt>
              <c:pt idx="9">
                <c:v>1092645.26</c:v>
              </c:pt>
            </c:numLit>
          </c:val>
          <c:extLst>
            <c:ext xmlns:c16="http://schemas.microsoft.com/office/drawing/2014/chart" uri="{C3380CC4-5D6E-409C-BE32-E72D297353CC}">
              <c16:uniqueId val="{000001FE-CE26-4B5A-A4DE-B0E82C734091}"/>
            </c:ext>
          </c:extLst>
        </c:ser>
        <c:ser>
          <c:idx val="70"/>
          <c:order val="70"/>
          <c:tx>
            <c:v>2017-Q4 - Sum of net_income</c:v>
          </c:tx>
          <c:spPr>
            <a:solidFill>
              <a:schemeClr val="accent5">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426165</c:v>
              </c:pt>
              <c:pt idx="1">
                <c:v>16480</c:v>
              </c:pt>
              <c:pt idx="2">
                <c:v>183552</c:v>
              </c:pt>
              <c:pt idx="3">
                <c:v>591546</c:v>
              </c:pt>
              <c:pt idx="4">
                <c:v>28750</c:v>
              </c:pt>
              <c:pt idx="5">
                <c:v>173197</c:v>
              </c:pt>
              <c:pt idx="6">
                <c:v>672409</c:v>
              </c:pt>
              <c:pt idx="7">
                <c:v>1888364</c:v>
              </c:pt>
              <c:pt idx="8">
                <c:v>81746</c:v>
              </c:pt>
              <c:pt idx="9">
                <c:v>596853</c:v>
              </c:pt>
            </c:numLit>
          </c:val>
          <c:extLst>
            <c:ext xmlns:c16="http://schemas.microsoft.com/office/drawing/2014/chart" uri="{C3380CC4-5D6E-409C-BE32-E72D297353CC}">
              <c16:uniqueId val="{000001FF-CE26-4B5A-A4DE-B0E82C734091}"/>
            </c:ext>
          </c:extLst>
        </c:ser>
        <c:ser>
          <c:idx val="71"/>
          <c:order val="71"/>
          <c:tx>
            <c:v>2017-Q4 - Sum of operating_income</c:v>
          </c:tx>
          <c:spPr>
            <a:solidFill>
              <a:schemeClr val="accent6">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190946</c:v>
              </c:pt>
              <c:pt idx="1">
                <c:v>20185.93</c:v>
              </c:pt>
              <c:pt idx="2">
                <c:v>676583.41</c:v>
              </c:pt>
              <c:pt idx="3">
                <c:v>1198336</c:v>
              </c:pt>
              <c:pt idx="4">
                <c:v>30552.22</c:v>
              </c:pt>
              <c:pt idx="5">
                <c:v>102022.87</c:v>
              </c:pt>
              <c:pt idx="6">
                <c:v>189373.56</c:v>
              </c:pt>
              <c:pt idx="7">
                <c:v>772871</c:v>
              </c:pt>
              <c:pt idx="8">
                <c:v>91308.420000000013</c:v>
              </c:pt>
              <c:pt idx="9">
                <c:v>728842.20000000007</c:v>
              </c:pt>
            </c:numLit>
          </c:val>
          <c:extLst>
            <c:ext xmlns:c16="http://schemas.microsoft.com/office/drawing/2014/chart" uri="{C3380CC4-5D6E-409C-BE32-E72D297353CC}">
              <c16:uniqueId val="{00000200-CE26-4B5A-A4DE-B0E82C734091}"/>
            </c:ext>
          </c:extLst>
        </c:ser>
        <c:ser>
          <c:idx val="72"/>
          <c:order val="72"/>
          <c:tx>
            <c:v>2018-Q1 - Sum of net_income</c:v>
          </c:tx>
          <c:spPr>
            <a:solidFill>
              <a:schemeClr val="accent1">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15868</c:v>
              </c:pt>
              <c:pt idx="1">
                <c:v>71092</c:v>
              </c:pt>
              <c:pt idx="2">
                <c:v>236066</c:v>
              </c:pt>
              <c:pt idx="3">
                <c:v>583855</c:v>
              </c:pt>
              <c:pt idx="4">
                <c:v>26845</c:v>
              </c:pt>
              <c:pt idx="5">
                <c:v>29848</c:v>
              </c:pt>
              <c:pt idx="6">
                <c:v>88322</c:v>
              </c:pt>
              <c:pt idx="7">
                <c:v>462596</c:v>
              </c:pt>
              <c:pt idx="8">
                <c:v>-44922</c:v>
              </c:pt>
              <c:pt idx="9">
                <c:v>147098</c:v>
              </c:pt>
            </c:numLit>
          </c:val>
          <c:extLst>
            <c:ext xmlns:c16="http://schemas.microsoft.com/office/drawing/2014/chart" uri="{C3380CC4-5D6E-409C-BE32-E72D297353CC}">
              <c16:uniqueId val="{00000201-CE26-4B5A-A4DE-B0E82C734091}"/>
            </c:ext>
          </c:extLst>
        </c:ser>
        <c:ser>
          <c:idx val="73"/>
          <c:order val="73"/>
          <c:tx>
            <c:v>2018-Q1 - Sum of operating_income</c:v>
          </c:tx>
          <c:spPr>
            <a:solidFill>
              <a:schemeClr val="accent2">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14013</c:v>
              </c:pt>
              <c:pt idx="1">
                <c:v>76094.83</c:v>
              </c:pt>
              <c:pt idx="2">
                <c:v>447172.26</c:v>
              </c:pt>
              <c:pt idx="3">
                <c:v>912490</c:v>
              </c:pt>
              <c:pt idx="4">
                <c:v>33298.57</c:v>
              </c:pt>
              <c:pt idx="5">
                <c:v>38847.78</c:v>
              </c:pt>
              <c:pt idx="6">
                <c:v>129322.26000000001</c:v>
              </c:pt>
              <c:pt idx="7">
                <c:v>616430</c:v>
              </c:pt>
              <c:pt idx="8">
                <c:v>-38796.75</c:v>
              </c:pt>
              <c:pt idx="9">
                <c:v>276790.70999999996</c:v>
              </c:pt>
            </c:numLit>
          </c:val>
          <c:extLst>
            <c:ext xmlns:c16="http://schemas.microsoft.com/office/drawing/2014/chart" uri="{C3380CC4-5D6E-409C-BE32-E72D297353CC}">
              <c16:uniqueId val="{00000202-CE26-4B5A-A4DE-B0E82C734091}"/>
            </c:ext>
          </c:extLst>
        </c:ser>
        <c:ser>
          <c:idx val="74"/>
          <c:order val="74"/>
          <c:tx>
            <c:v>2018-Q2 - Sum of net_income</c:v>
          </c:tx>
          <c:spPr>
            <a:solidFill>
              <a:schemeClr val="accent3">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215165</c:v>
              </c:pt>
              <c:pt idx="1">
                <c:v>56008</c:v>
              </c:pt>
              <c:pt idx="2">
                <c:v>618941</c:v>
              </c:pt>
              <c:pt idx="3">
                <c:v>1017742</c:v>
              </c:pt>
              <c:pt idx="4">
                <c:v>67225</c:v>
              </c:pt>
              <c:pt idx="5">
                <c:v>82842</c:v>
              </c:pt>
              <c:pt idx="6">
                <c:v>-119892</c:v>
              </c:pt>
              <c:pt idx="7">
                <c:v>732723</c:v>
              </c:pt>
              <c:pt idx="8">
                <c:v>11254</c:v>
              </c:pt>
              <c:pt idx="9">
                <c:v>684133</c:v>
              </c:pt>
            </c:numLit>
          </c:val>
          <c:extLst>
            <c:ext xmlns:c16="http://schemas.microsoft.com/office/drawing/2014/chart" uri="{C3380CC4-5D6E-409C-BE32-E72D297353CC}">
              <c16:uniqueId val="{00000203-CE26-4B5A-A4DE-B0E82C734091}"/>
            </c:ext>
          </c:extLst>
        </c:ser>
        <c:ser>
          <c:idx val="75"/>
          <c:order val="75"/>
          <c:tx>
            <c:v>2018-Q2 - Sum of operating_income</c:v>
          </c:tx>
          <c:spPr>
            <a:solidFill>
              <a:schemeClr val="accent4">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266791</c:v>
              </c:pt>
              <c:pt idx="1">
                <c:v>62540.06</c:v>
              </c:pt>
              <c:pt idx="2">
                <c:v>1037383.54</c:v>
              </c:pt>
              <c:pt idx="3">
                <c:v>1742062</c:v>
              </c:pt>
              <c:pt idx="4">
                <c:v>83650.12000000001</c:v>
              </c:pt>
              <c:pt idx="5">
                <c:v>96798.439999999988</c:v>
              </c:pt>
              <c:pt idx="6">
                <c:v>171150.64</c:v>
              </c:pt>
              <c:pt idx="7">
                <c:v>971585</c:v>
              </c:pt>
              <c:pt idx="8">
                <c:v>108521.15</c:v>
              </c:pt>
              <c:pt idx="9">
                <c:v>1160849.06</c:v>
              </c:pt>
            </c:numLit>
          </c:val>
          <c:extLst>
            <c:ext xmlns:c16="http://schemas.microsoft.com/office/drawing/2014/chart" uri="{C3380CC4-5D6E-409C-BE32-E72D297353CC}">
              <c16:uniqueId val="{00000204-CE26-4B5A-A4DE-B0E82C734091}"/>
            </c:ext>
          </c:extLst>
        </c:ser>
        <c:ser>
          <c:idx val="76"/>
          <c:order val="76"/>
          <c:tx>
            <c:v>2018-Q3 - Sum of net_income</c:v>
          </c:tx>
          <c:spPr>
            <a:solidFill>
              <a:schemeClr val="accent5">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229800</c:v>
              </c:pt>
              <c:pt idx="1">
                <c:v>10541</c:v>
              </c:pt>
              <c:pt idx="2">
                <c:v>402575</c:v>
              </c:pt>
              <c:pt idx="3">
                <c:v>1275703</c:v>
              </c:pt>
              <c:pt idx="4">
                <c:v>30541</c:v>
              </c:pt>
              <c:pt idx="5">
                <c:v>95352</c:v>
              </c:pt>
              <c:pt idx="6">
                <c:v>50470</c:v>
              </c:pt>
              <c:pt idx="7">
                <c:v>615460</c:v>
              </c:pt>
              <c:pt idx="8">
                <c:v>97480</c:v>
              </c:pt>
              <c:pt idx="9">
                <c:v>836361</c:v>
              </c:pt>
            </c:numLit>
          </c:val>
          <c:extLst>
            <c:ext xmlns:c16="http://schemas.microsoft.com/office/drawing/2014/chart" uri="{C3380CC4-5D6E-409C-BE32-E72D297353CC}">
              <c16:uniqueId val="{00000205-CE26-4B5A-A4DE-B0E82C734091}"/>
            </c:ext>
          </c:extLst>
        </c:ser>
        <c:ser>
          <c:idx val="77"/>
          <c:order val="77"/>
          <c:tx>
            <c:v>2018-Q3 - Sum of operating_income</c:v>
          </c:tx>
          <c:spPr>
            <a:solidFill>
              <a:schemeClr val="accent6">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299563</c:v>
              </c:pt>
              <c:pt idx="1">
                <c:v>18124.259999999998</c:v>
              </c:pt>
              <c:pt idx="2">
                <c:v>669382.78</c:v>
              </c:pt>
              <c:pt idx="3">
                <c:v>1663858</c:v>
              </c:pt>
              <c:pt idx="4">
                <c:v>35787.31</c:v>
              </c:pt>
              <c:pt idx="5">
                <c:v>119690.37</c:v>
              </c:pt>
              <c:pt idx="6">
                <c:v>128958.94</c:v>
              </c:pt>
              <c:pt idx="7">
                <c:v>797969</c:v>
              </c:pt>
              <c:pt idx="8">
                <c:v>145125.39000000001</c:v>
              </c:pt>
              <c:pt idx="9">
                <c:v>1203512.1000000001</c:v>
              </c:pt>
            </c:numLit>
          </c:val>
          <c:extLst>
            <c:ext xmlns:c16="http://schemas.microsoft.com/office/drawing/2014/chart" uri="{C3380CC4-5D6E-409C-BE32-E72D297353CC}">
              <c16:uniqueId val="{00000206-CE26-4B5A-A4DE-B0E82C734091}"/>
            </c:ext>
          </c:extLst>
        </c:ser>
        <c:ser>
          <c:idx val="78"/>
          <c:order val="78"/>
          <c:tx>
            <c:v>2018-Q4 - Sum of net_income</c:v>
          </c:tx>
          <c:spPr>
            <a:solidFill>
              <a:schemeClr val="accent1">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47926</c:v>
              </c:pt>
              <c:pt idx="1">
                <c:v>54091</c:v>
              </c:pt>
              <c:pt idx="2">
                <c:v>400485</c:v>
              </c:pt>
              <c:pt idx="3">
                <c:v>1008335</c:v>
              </c:pt>
              <c:pt idx="4">
                <c:v>-42084</c:v>
              </c:pt>
              <c:pt idx="5">
                <c:v>35222</c:v>
              </c:pt>
              <c:pt idx="6">
                <c:v>169324</c:v>
              </c:pt>
              <c:pt idx="7">
                <c:v>654188</c:v>
              </c:pt>
              <c:pt idx="8">
                <c:v>91936</c:v>
              </c:pt>
              <c:pt idx="9">
                <c:v>463487</c:v>
              </c:pt>
            </c:numLit>
          </c:val>
          <c:extLst>
            <c:ext xmlns:c16="http://schemas.microsoft.com/office/drawing/2014/chart" uri="{C3380CC4-5D6E-409C-BE32-E72D297353CC}">
              <c16:uniqueId val="{00000207-CE26-4B5A-A4DE-B0E82C734091}"/>
            </c:ext>
          </c:extLst>
        </c:ser>
        <c:ser>
          <c:idx val="79"/>
          <c:order val="79"/>
          <c:tx>
            <c:v>2018-Q4 - Sum of operating_income</c:v>
          </c:tx>
          <c:spPr>
            <a:solidFill>
              <a:schemeClr val="accent2">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106912</c:v>
              </c:pt>
              <c:pt idx="1">
                <c:v>59073.36</c:v>
              </c:pt>
              <c:pt idx="2">
                <c:v>569406.30000000005</c:v>
              </c:pt>
              <c:pt idx="3">
                <c:v>1185494</c:v>
              </c:pt>
              <c:pt idx="4">
                <c:v>-32846.979999999996</c:v>
              </c:pt>
              <c:pt idx="5">
                <c:v>73987.820000000007</c:v>
              </c:pt>
              <c:pt idx="6">
                <c:v>220947.63</c:v>
              </c:pt>
              <c:pt idx="7">
                <c:v>819684</c:v>
              </c:pt>
              <c:pt idx="8">
                <c:v>136064.97</c:v>
              </c:pt>
              <c:pt idx="9">
                <c:v>653144.14</c:v>
              </c:pt>
            </c:numLit>
          </c:val>
          <c:extLst>
            <c:ext xmlns:c16="http://schemas.microsoft.com/office/drawing/2014/chart" uri="{C3380CC4-5D6E-409C-BE32-E72D297353CC}">
              <c16:uniqueId val="{00000208-CE26-4B5A-A4DE-B0E82C734091}"/>
            </c:ext>
          </c:extLst>
        </c:ser>
        <c:ser>
          <c:idx val="80"/>
          <c:order val="80"/>
          <c:tx>
            <c:v>2019-Q1 - Sum of net_income</c:v>
          </c:tx>
          <c:spPr>
            <a:solidFill>
              <a:schemeClr val="accent3">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17407</c:v>
              </c:pt>
              <c:pt idx="1">
                <c:v>76967</c:v>
              </c:pt>
              <c:pt idx="2">
                <c:v>229855</c:v>
              </c:pt>
              <c:pt idx="3">
                <c:v>747733</c:v>
              </c:pt>
              <c:pt idx="4">
                <c:v>27053</c:v>
              </c:pt>
              <c:pt idx="5">
                <c:v>40083</c:v>
              </c:pt>
              <c:pt idx="6">
                <c:v>41574</c:v>
              </c:pt>
              <c:pt idx="7">
                <c:v>387114</c:v>
              </c:pt>
              <c:pt idx="8">
                <c:v>56076</c:v>
              </c:pt>
              <c:pt idx="9">
                <c:v>292760</c:v>
              </c:pt>
            </c:numLit>
          </c:val>
          <c:extLst>
            <c:ext xmlns:c16="http://schemas.microsoft.com/office/drawing/2014/chart" uri="{C3380CC4-5D6E-409C-BE32-E72D297353CC}">
              <c16:uniqueId val="{00000209-CE26-4B5A-A4DE-B0E82C734091}"/>
            </c:ext>
          </c:extLst>
        </c:ser>
        <c:ser>
          <c:idx val="81"/>
          <c:order val="81"/>
          <c:tx>
            <c:v>2019-Q1 - Sum of operating_income</c:v>
          </c:tx>
          <c:spPr>
            <a:solidFill>
              <a:schemeClr val="accent4">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28323</c:v>
              </c:pt>
              <c:pt idx="1">
                <c:v>85040.74</c:v>
              </c:pt>
              <c:pt idx="2">
                <c:v>345380.54000000004</c:v>
              </c:pt>
              <c:pt idx="3">
                <c:v>1019481</c:v>
              </c:pt>
              <c:pt idx="4">
                <c:v>30567.659999999996</c:v>
              </c:pt>
              <c:pt idx="5">
                <c:v>56859.96</c:v>
              </c:pt>
              <c:pt idx="6">
                <c:v>83295.87</c:v>
              </c:pt>
              <c:pt idx="7">
                <c:v>504939</c:v>
              </c:pt>
              <c:pt idx="8">
                <c:v>87804.39</c:v>
              </c:pt>
              <c:pt idx="9">
                <c:v>495793.68000000005</c:v>
              </c:pt>
            </c:numLit>
          </c:val>
          <c:extLst>
            <c:ext xmlns:c16="http://schemas.microsoft.com/office/drawing/2014/chart" uri="{C3380CC4-5D6E-409C-BE32-E72D297353CC}">
              <c16:uniqueId val="{0000020A-CE26-4B5A-A4DE-B0E82C734091}"/>
            </c:ext>
          </c:extLst>
        </c:ser>
        <c:ser>
          <c:idx val="82"/>
          <c:order val="82"/>
          <c:tx>
            <c:v>2019-Q2 - Sum of net_income</c:v>
          </c:tx>
          <c:spPr>
            <a:solidFill>
              <a:schemeClr val="accent5">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256378</c:v>
              </c:pt>
              <c:pt idx="1">
                <c:v>91341</c:v>
              </c:pt>
              <c:pt idx="2">
                <c:v>713914</c:v>
              </c:pt>
              <c:pt idx="3">
                <c:v>1407178</c:v>
              </c:pt>
              <c:pt idx="4">
                <c:v>80534</c:v>
              </c:pt>
              <c:pt idx="5">
                <c:v>61755</c:v>
              </c:pt>
              <c:pt idx="6">
                <c:v>179484</c:v>
              </c:pt>
              <c:pt idx="7">
                <c:v>740536</c:v>
              </c:pt>
              <c:pt idx="8">
                <c:v>114510</c:v>
              </c:pt>
              <c:pt idx="9">
                <c:v>1051939</c:v>
              </c:pt>
            </c:numLit>
          </c:val>
          <c:extLst>
            <c:ext xmlns:c16="http://schemas.microsoft.com/office/drawing/2014/chart" uri="{C3380CC4-5D6E-409C-BE32-E72D297353CC}">
              <c16:uniqueId val="{0000020B-CE26-4B5A-A4DE-B0E82C734091}"/>
            </c:ext>
          </c:extLst>
        </c:ser>
        <c:ser>
          <c:idx val="83"/>
          <c:order val="83"/>
          <c:tx>
            <c:v>2019-Q2 - Sum of operating_income</c:v>
          </c:tx>
          <c:spPr>
            <a:solidFill>
              <a:schemeClr val="accent6">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357660</c:v>
              </c:pt>
              <c:pt idx="1">
                <c:v>100607.39</c:v>
              </c:pt>
              <c:pt idx="2">
                <c:v>1127083.1400000001</c:v>
              </c:pt>
              <c:pt idx="3">
                <c:v>2080770</c:v>
              </c:pt>
              <c:pt idx="4">
                <c:v>101147.5</c:v>
              </c:pt>
              <c:pt idx="5">
                <c:v>93105.94</c:v>
              </c:pt>
              <c:pt idx="6">
                <c:v>249869.81</c:v>
              </c:pt>
              <c:pt idx="7">
                <c:v>968047</c:v>
              </c:pt>
              <c:pt idx="8">
                <c:v>163938.36000000002</c:v>
              </c:pt>
              <c:pt idx="9">
                <c:v>1472345.77</c:v>
              </c:pt>
            </c:numLit>
          </c:val>
          <c:extLst>
            <c:ext xmlns:c16="http://schemas.microsoft.com/office/drawing/2014/chart" uri="{C3380CC4-5D6E-409C-BE32-E72D297353CC}">
              <c16:uniqueId val="{0000020C-CE26-4B5A-A4DE-B0E82C734091}"/>
            </c:ext>
          </c:extLst>
        </c:ser>
        <c:ser>
          <c:idx val="84"/>
          <c:order val="84"/>
          <c:tx>
            <c:v>2019-Q3 - Sum of net_income</c:v>
          </c:tx>
          <c:spPr>
            <a:solidFill>
              <a:schemeClr val="accent1">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311173</c:v>
              </c:pt>
              <c:pt idx="1">
                <c:v>54431</c:v>
              </c:pt>
              <c:pt idx="2">
                <c:v>507896</c:v>
              </c:pt>
              <c:pt idx="3">
                <c:v>1493988</c:v>
              </c:pt>
              <c:pt idx="4">
                <c:v>87669</c:v>
              </c:pt>
              <c:pt idx="5">
                <c:v>85555</c:v>
              </c:pt>
              <c:pt idx="6">
                <c:v>186516</c:v>
              </c:pt>
              <c:pt idx="7">
                <c:v>658875</c:v>
              </c:pt>
              <c:pt idx="8">
                <c:v>83464</c:v>
              </c:pt>
              <c:pt idx="9">
                <c:v>1023959</c:v>
              </c:pt>
            </c:numLit>
          </c:val>
          <c:extLst>
            <c:ext xmlns:c16="http://schemas.microsoft.com/office/drawing/2014/chart" uri="{C3380CC4-5D6E-409C-BE32-E72D297353CC}">
              <c16:uniqueId val="{0000020D-CE26-4B5A-A4DE-B0E82C734091}"/>
            </c:ext>
          </c:extLst>
        </c:ser>
        <c:ser>
          <c:idx val="85"/>
          <c:order val="85"/>
          <c:tx>
            <c:v>2019-Q3 - Sum of operating_income</c:v>
          </c:tx>
          <c:spPr>
            <a:solidFill>
              <a:schemeClr val="accent2">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407567</c:v>
              </c:pt>
              <c:pt idx="1">
                <c:v>63909.96</c:v>
              </c:pt>
              <c:pt idx="2">
                <c:v>828289.03</c:v>
              </c:pt>
              <c:pt idx="3">
                <c:v>2062770</c:v>
              </c:pt>
              <c:pt idx="4">
                <c:v>109289.17000000001</c:v>
              </c:pt>
              <c:pt idx="5">
                <c:v>123547.81</c:v>
              </c:pt>
              <c:pt idx="6">
                <c:v>243200.53999999998</c:v>
              </c:pt>
              <c:pt idx="7">
                <c:v>819474</c:v>
              </c:pt>
              <c:pt idx="8">
                <c:v>124681.86</c:v>
              </c:pt>
              <c:pt idx="9">
                <c:v>1473706.79</c:v>
              </c:pt>
            </c:numLit>
          </c:val>
          <c:extLst>
            <c:ext xmlns:c16="http://schemas.microsoft.com/office/drawing/2014/chart" uri="{C3380CC4-5D6E-409C-BE32-E72D297353CC}">
              <c16:uniqueId val="{0000020E-CE26-4B5A-A4DE-B0E82C734091}"/>
            </c:ext>
          </c:extLst>
        </c:ser>
        <c:ser>
          <c:idx val="86"/>
          <c:order val="86"/>
          <c:tx>
            <c:v>2019-Q4 - Sum of net_income</c:v>
          </c:tx>
          <c:spPr>
            <a:solidFill>
              <a:schemeClr val="accent3">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181235</c:v>
              </c:pt>
              <c:pt idx="1">
                <c:v>75741</c:v>
              </c:pt>
              <c:pt idx="2">
                <c:v>520460</c:v>
              </c:pt>
              <c:pt idx="3">
                <c:v>1121021</c:v>
              </c:pt>
              <c:pt idx="4">
                <c:v>55591</c:v>
              </c:pt>
              <c:pt idx="5">
                <c:v>50692</c:v>
              </c:pt>
              <c:pt idx="6">
                <c:v>161393</c:v>
              </c:pt>
              <c:pt idx="7">
                <c:v>513799</c:v>
              </c:pt>
              <c:pt idx="8">
                <c:v>81214</c:v>
              </c:pt>
              <c:pt idx="9">
                <c:v>642351</c:v>
              </c:pt>
            </c:numLit>
          </c:val>
          <c:extLst>
            <c:ext xmlns:c16="http://schemas.microsoft.com/office/drawing/2014/chart" uri="{C3380CC4-5D6E-409C-BE32-E72D297353CC}">
              <c16:uniqueId val="{0000020F-CE26-4B5A-A4DE-B0E82C734091}"/>
            </c:ext>
          </c:extLst>
        </c:ser>
        <c:ser>
          <c:idx val="87"/>
          <c:order val="87"/>
          <c:tx>
            <c:v>2019-Q4 - Sum of operating_income</c:v>
          </c:tx>
          <c:spPr>
            <a:solidFill>
              <a:schemeClr val="accent4">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244158</c:v>
              </c:pt>
              <c:pt idx="1">
                <c:v>84556.7</c:v>
              </c:pt>
              <c:pt idx="2">
                <c:v>746014.71000000008</c:v>
              </c:pt>
              <c:pt idx="3">
                <c:v>1395768</c:v>
              </c:pt>
              <c:pt idx="4">
                <c:v>67453.48</c:v>
              </c:pt>
              <c:pt idx="5">
                <c:v>70671.360000000001</c:v>
              </c:pt>
              <c:pt idx="6">
                <c:v>227882.35</c:v>
              </c:pt>
              <c:pt idx="7">
                <c:v>664733</c:v>
              </c:pt>
              <c:pt idx="8">
                <c:v>124623.94</c:v>
              </c:pt>
              <c:pt idx="9">
                <c:v>861703.3600000001</c:v>
              </c:pt>
            </c:numLit>
          </c:val>
          <c:extLst>
            <c:ext xmlns:c16="http://schemas.microsoft.com/office/drawing/2014/chart" uri="{C3380CC4-5D6E-409C-BE32-E72D297353CC}">
              <c16:uniqueId val="{00000210-CE26-4B5A-A4DE-B0E82C734091}"/>
            </c:ext>
          </c:extLst>
        </c:ser>
        <c:ser>
          <c:idx val="88"/>
          <c:order val="88"/>
          <c:tx>
            <c:v>2020-Q1 - Sum of net_income</c:v>
          </c:tx>
          <c:spPr>
            <a:solidFill>
              <a:schemeClr val="accent5">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-210182</c:v>
              </c:pt>
              <c:pt idx="1">
                <c:v>29779</c:v>
              </c:pt>
              <c:pt idx="2">
                <c:v>-2168980</c:v>
              </c:pt>
              <c:pt idx="3">
                <c:v>-511355</c:v>
              </c:pt>
              <c:pt idx="4">
                <c:v>-59506</c:v>
              </c:pt>
              <c:pt idx="5">
                <c:v>-142438</c:v>
              </c:pt>
              <c:pt idx="6">
                <c:v>-267924</c:v>
              </c:pt>
              <c:pt idx="7">
                <c:v>-94311</c:v>
              </c:pt>
              <c:pt idx="8">
                <c:v>-27828</c:v>
              </c:pt>
              <c:pt idx="9">
                <c:v>-1704038</c:v>
              </c:pt>
            </c:numLit>
          </c:val>
          <c:extLst>
            <c:ext xmlns:c16="http://schemas.microsoft.com/office/drawing/2014/chart" uri="{C3380CC4-5D6E-409C-BE32-E72D297353CC}">
              <c16:uniqueId val="{00000211-CE26-4B5A-A4DE-B0E82C734091}"/>
            </c:ext>
          </c:extLst>
        </c:ser>
        <c:ser>
          <c:idx val="89"/>
          <c:order val="89"/>
          <c:tx>
            <c:v>2020-Q1 - Sum of operating_income</c:v>
          </c:tx>
          <c:spPr>
            <a:solidFill>
              <a:schemeClr val="accent6">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-256903</c:v>
              </c:pt>
              <c:pt idx="1">
                <c:v>38659.279999999999</c:v>
              </c:pt>
              <c:pt idx="2">
                <c:v>-2535836.1700000004</c:v>
              </c:pt>
              <c:pt idx="3">
                <c:v>-326044</c:v>
              </c:pt>
              <c:pt idx="4">
                <c:v>-99036.15</c:v>
              </c:pt>
              <c:pt idx="5">
                <c:v>-58680.979999999996</c:v>
              </c:pt>
              <c:pt idx="6">
                <c:v>-130877.81999999999</c:v>
              </c:pt>
              <c:pt idx="7">
                <c:v>-109526</c:v>
              </c:pt>
              <c:pt idx="8">
                <c:v>-57991.979999999996</c:v>
              </c:pt>
              <c:pt idx="9">
                <c:v>-971679.08</c:v>
              </c:pt>
            </c:numLit>
          </c:val>
          <c:extLst>
            <c:ext xmlns:c16="http://schemas.microsoft.com/office/drawing/2014/chart" uri="{C3380CC4-5D6E-409C-BE32-E72D297353CC}">
              <c16:uniqueId val="{00000212-CE26-4B5A-A4DE-B0E82C734091}"/>
            </c:ext>
          </c:extLst>
        </c:ser>
        <c:ser>
          <c:idx val="90"/>
          <c:order val="90"/>
          <c:tx>
            <c:v>2020-Q2 - Sum of net_income</c:v>
          </c:tx>
          <c:spPr>
            <a:solidFill>
              <a:schemeClr val="accent1">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-261577</c:v>
              </c:pt>
              <c:pt idx="1">
                <c:v>-115137</c:v>
              </c:pt>
              <c:pt idx="2">
                <c:v>-1968013</c:v>
              </c:pt>
              <c:pt idx="3">
                <c:v>-5691876</c:v>
              </c:pt>
              <c:pt idx="4">
                <c:v>17358</c:v>
              </c:pt>
              <c:pt idx="5">
                <c:v>-80870</c:v>
              </c:pt>
              <c:pt idx="6">
                <c:v>-320561</c:v>
              </c:pt>
              <c:pt idx="7">
                <c:v>-914941</c:v>
              </c:pt>
              <c:pt idx="8">
                <c:v>-144428</c:v>
              </c:pt>
              <c:pt idx="9">
                <c:v>-1625896</c:v>
              </c:pt>
            </c:numLit>
          </c:val>
          <c:extLst>
            <c:ext xmlns:c16="http://schemas.microsoft.com/office/drawing/2014/chart" uri="{C3380CC4-5D6E-409C-BE32-E72D297353CC}">
              <c16:uniqueId val="{00000213-CE26-4B5A-A4DE-B0E82C734091}"/>
            </c:ext>
          </c:extLst>
        </c:ser>
        <c:ser>
          <c:idx val="91"/>
          <c:order val="91"/>
          <c:tx>
            <c:v>2020-Q2 - Sum of operating_income</c:v>
          </c:tx>
          <c:spPr>
            <a:solidFill>
              <a:schemeClr val="accent2">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-666145</c:v>
              </c:pt>
              <c:pt idx="1">
                <c:v>-182057.84</c:v>
              </c:pt>
              <c:pt idx="2">
                <c:v>-4459137.8199999994</c:v>
              </c:pt>
              <c:pt idx="3">
                <c:v>-3517502</c:v>
              </c:pt>
              <c:pt idx="4">
                <c:v>-80552.700000000012</c:v>
              </c:pt>
              <c:pt idx="5">
                <c:v>-222458.53999999998</c:v>
              </c:pt>
              <c:pt idx="6">
                <c:v>-714045.58000000007</c:v>
              </c:pt>
              <c:pt idx="7">
                <c:v>-2217663</c:v>
              </c:pt>
              <c:pt idx="8">
                <c:v>-342294.81</c:v>
              </c:pt>
              <c:pt idx="9">
                <c:v>-3225521.2300000004</c:v>
              </c:pt>
            </c:numLit>
          </c:val>
          <c:extLst>
            <c:ext xmlns:c16="http://schemas.microsoft.com/office/drawing/2014/chart" uri="{C3380CC4-5D6E-409C-BE32-E72D297353CC}">
              <c16:uniqueId val="{00000214-CE26-4B5A-A4DE-B0E82C734091}"/>
            </c:ext>
          </c:extLst>
        </c:ser>
        <c:ser>
          <c:idx val="92"/>
          <c:order val="92"/>
          <c:tx>
            <c:v>2020-Q3 - Sum of net_income</c:v>
          </c:tx>
          <c:spPr>
            <a:solidFill>
              <a:schemeClr val="accent3">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-501257</c:v>
              </c:pt>
              <c:pt idx="1">
                <c:v>-41594</c:v>
              </c:pt>
              <c:pt idx="2">
                <c:v>-2275515</c:v>
              </c:pt>
              <c:pt idx="3">
                <c:v>-5381342</c:v>
              </c:pt>
              <c:pt idx="4">
                <c:v>-51604</c:v>
              </c:pt>
              <c:pt idx="5">
                <c:v>-95932</c:v>
              </c:pt>
              <c:pt idx="6">
                <c:v>-392373</c:v>
              </c:pt>
              <c:pt idx="7">
                <c:v>-1156653</c:v>
              </c:pt>
              <c:pt idx="8">
                <c:v>-99140</c:v>
              </c:pt>
              <c:pt idx="9">
                <c:v>-1841017</c:v>
              </c:pt>
            </c:numLit>
          </c:val>
          <c:extLst>
            <c:ext xmlns:c16="http://schemas.microsoft.com/office/drawing/2014/chart" uri="{C3380CC4-5D6E-409C-BE32-E72D297353CC}">
              <c16:uniqueId val="{00000215-CE26-4B5A-A4DE-B0E82C734091}"/>
            </c:ext>
          </c:extLst>
        </c:ser>
        <c:ser>
          <c:idx val="93"/>
          <c:order val="93"/>
          <c:tx>
            <c:v>2020-Q3 - Sum of operating_income</c:v>
          </c:tx>
          <c:spPr>
            <a:solidFill>
              <a:schemeClr val="accent4">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-985565</c:v>
              </c:pt>
              <c:pt idx="1">
                <c:v>-113499.15</c:v>
              </c:pt>
              <c:pt idx="2">
                <c:v>-4945286.6999999993</c:v>
              </c:pt>
              <c:pt idx="3">
                <c:v>-2292385</c:v>
              </c:pt>
              <c:pt idx="4">
                <c:v>-171881.19999999998</c:v>
              </c:pt>
              <c:pt idx="5">
                <c:v>-249978.86</c:v>
              </c:pt>
              <c:pt idx="6">
                <c:v>-685253.39</c:v>
              </c:pt>
              <c:pt idx="7">
                <c:v>-2658234</c:v>
              </c:pt>
              <c:pt idx="8">
                <c:v>-250132.41999999998</c:v>
              </c:pt>
              <c:pt idx="9">
                <c:v>-3108526.93</c:v>
              </c:pt>
            </c:numLit>
          </c:val>
          <c:extLst>
            <c:ext xmlns:c16="http://schemas.microsoft.com/office/drawing/2014/chart" uri="{C3380CC4-5D6E-409C-BE32-E72D297353CC}">
              <c16:uniqueId val="{00000216-CE26-4B5A-A4DE-B0E82C734091}"/>
            </c:ext>
          </c:extLst>
        </c:ser>
        <c:ser>
          <c:idx val="94"/>
          <c:order val="94"/>
          <c:tx>
            <c:v>2020-Q4 - Sum of net_income</c:v>
          </c:tx>
          <c:spPr>
            <a:solidFill>
              <a:schemeClr val="accent5">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-428642</c:v>
              </c:pt>
              <c:pt idx="1">
                <c:v>-35260</c:v>
              </c:pt>
              <c:pt idx="2">
                <c:v>-2037012</c:v>
              </c:pt>
              <c:pt idx="3">
                <c:v>-792997</c:v>
              </c:pt>
              <c:pt idx="4">
                <c:v>-126850</c:v>
              </c:pt>
              <c:pt idx="5">
                <c:v>-157285</c:v>
              </c:pt>
              <c:pt idx="6">
                <c:v>-373435</c:v>
              </c:pt>
              <c:pt idx="7">
                <c:v>-908410</c:v>
              </c:pt>
              <c:pt idx="8">
                <c:v>-157305</c:v>
              </c:pt>
              <c:pt idx="9">
                <c:v>-1896466</c:v>
              </c:pt>
            </c:numLit>
          </c:val>
          <c:extLst>
            <c:ext xmlns:c16="http://schemas.microsoft.com/office/drawing/2014/chart" uri="{C3380CC4-5D6E-409C-BE32-E72D297353CC}">
              <c16:uniqueId val="{00000217-CE26-4B5A-A4DE-B0E82C734091}"/>
            </c:ext>
          </c:extLst>
        </c:ser>
        <c:ser>
          <c:idx val="95"/>
          <c:order val="95"/>
          <c:tx>
            <c:v>2020-Q4 - Sum of operating_income</c:v>
          </c:tx>
          <c:spPr>
            <a:solidFill>
              <a:schemeClr val="accent6">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-646730</c:v>
              </c:pt>
              <c:pt idx="1">
                <c:v>-28195.67</c:v>
              </c:pt>
              <c:pt idx="2">
                <c:v>-2438663.1300000004</c:v>
              </c:pt>
              <c:pt idx="3">
                <c:v>-1736877</c:v>
              </c:pt>
              <c:pt idx="4">
                <c:v>-183547.14</c:v>
              </c:pt>
              <c:pt idx="5">
                <c:v>-202884.08</c:v>
              </c:pt>
              <c:pt idx="6">
                <c:v>-488925.72</c:v>
              </c:pt>
              <c:pt idx="7">
                <c:v>-1168470</c:v>
              </c:pt>
              <c:pt idx="8">
                <c:v>-162624.28999999998</c:v>
              </c:pt>
              <c:pt idx="9">
                <c:v>-2586930.4700000002</c:v>
              </c:pt>
            </c:numLit>
          </c:val>
          <c:extLst>
            <c:ext xmlns:c16="http://schemas.microsoft.com/office/drawing/2014/chart" uri="{C3380CC4-5D6E-409C-BE32-E72D297353CC}">
              <c16:uniqueId val="{00000218-CE26-4B5A-A4DE-B0E82C734091}"/>
            </c:ext>
          </c:extLst>
        </c:ser>
        <c:ser>
          <c:idx val="96"/>
          <c:order val="96"/>
          <c:tx>
            <c:v>2021-Q1 - Sum of net_income</c:v>
          </c:tx>
          <c:spPr>
            <a:solidFill>
              <a:schemeClr val="accent1">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-188295</c:v>
              </c:pt>
              <c:pt idx="1">
                <c:v>9309</c:v>
              </c:pt>
              <c:pt idx="2">
                <c:v>-1215616</c:v>
              </c:pt>
              <c:pt idx="3">
                <c:v>-1181408</c:v>
              </c:pt>
              <c:pt idx="4">
                <c:v>-91053</c:v>
              </c:pt>
              <c:pt idx="5">
                <c:v>-59013</c:v>
              </c:pt>
              <c:pt idx="6">
                <c:v>-246585</c:v>
              </c:pt>
              <c:pt idx="7">
                <c:v>115613</c:v>
              </c:pt>
              <c:pt idx="8">
                <c:v>-112321</c:v>
              </c:pt>
              <c:pt idx="9">
                <c:v>-1356728</c:v>
              </c:pt>
            </c:numLit>
          </c:val>
          <c:extLst>
            <c:ext xmlns:c16="http://schemas.microsoft.com/office/drawing/2014/chart" uri="{C3380CC4-5D6E-409C-BE32-E72D297353CC}">
              <c16:uniqueId val="{00000219-CE26-4B5A-A4DE-B0E82C734091}"/>
            </c:ext>
          </c:extLst>
        </c:ser>
        <c:ser>
          <c:idx val="97"/>
          <c:order val="97"/>
          <c:tx>
            <c:v>2021-Q1 - Sum of operating_income</c:v>
          </c:tx>
          <c:spPr>
            <a:solidFill>
              <a:schemeClr val="accent2">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-611230</c:v>
              </c:pt>
              <c:pt idx="1">
                <c:v>-74731.03</c:v>
              </c:pt>
              <c:pt idx="2">
                <c:v>-3439576.1599999997</c:v>
              </c:pt>
              <c:pt idx="3">
                <c:v>-2494911</c:v>
              </c:pt>
              <c:pt idx="4">
                <c:v>-216406.79</c:v>
              </c:pt>
              <c:pt idx="5">
                <c:v>-218999.76</c:v>
              </c:pt>
              <c:pt idx="6">
                <c:v>-581293.87</c:v>
              </c:pt>
              <c:pt idx="7">
                <c:v>-1017151</c:v>
              </c:pt>
              <c:pt idx="8">
                <c:v>-280283.78999999998</c:v>
              </c:pt>
              <c:pt idx="9">
                <c:v>-3190117.3200000003</c:v>
              </c:pt>
            </c:numLit>
          </c:val>
          <c:extLst>
            <c:ext xmlns:c16="http://schemas.microsoft.com/office/drawing/2014/chart" uri="{C3380CC4-5D6E-409C-BE32-E72D297353CC}">
              <c16:uniqueId val="{0000021A-CE26-4B5A-A4DE-B0E82C734091}"/>
            </c:ext>
          </c:extLst>
        </c:ser>
        <c:ser>
          <c:idx val="98"/>
          <c:order val="98"/>
          <c:tx>
            <c:v>2021-Q2 - Sum of net_income</c:v>
          </c:tx>
          <c:spPr>
            <a:solidFill>
              <a:schemeClr val="accent3">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329064</c:v>
              </c:pt>
              <c:pt idx="1">
                <c:v>97910</c:v>
              </c:pt>
              <c:pt idx="2">
                <c:v>50899</c:v>
              </c:pt>
              <c:pt idx="3">
                <c:v>641091</c:v>
              </c:pt>
              <c:pt idx="4">
                <c:v>18777</c:v>
              </c:pt>
              <c:pt idx="5">
                <c:v>-1192</c:v>
              </c:pt>
              <c:pt idx="6">
                <c:v>63450</c:v>
              </c:pt>
              <c:pt idx="7">
                <c:v>347738</c:v>
              </c:pt>
              <c:pt idx="8">
                <c:v>-287863</c:v>
              </c:pt>
              <c:pt idx="9">
                <c:v>-433825</c:v>
              </c:pt>
            </c:numLit>
          </c:val>
          <c:extLst>
            <c:ext xmlns:c16="http://schemas.microsoft.com/office/drawing/2014/chart" uri="{C3380CC4-5D6E-409C-BE32-E72D297353CC}">
              <c16:uniqueId val="{0000021B-CE26-4B5A-A4DE-B0E82C734091}"/>
            </c:ext>
          </c:extLst>
        </c:ser>
        <c:ser>
          <c:idx val="99"/>
          <c:order val="99"/>
          <c:tx>
            <c:v>2021-Q2 - Sum of operating_income</c:v>
          </c:tx>
          <c:spPr>
            <a:solidFill>
              <a:schemeClr val="accent4">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-42512</c:v>
              </c:pt>
              <c:pt idx="1">
                <c:v>80454.48</c:v>
              </c:pt>
              <c:pt idx="2">
                <c:v>-1015902.15</c:v>
              </c:pt>
              <c:pt idx="3">
                <c:v>-534558</c:v>
              </c:pt>
              <c:pt idx="4">
                <c:v>-64128.369999999995</c:v>
              </c:pt>
              <c:pt idx="5">
                <c:v>-67047.540000000008</c:v>
              </c:pt>
              <c:pt idx="6">
                <c:v>-209350.62</c:v>
              </c:pt>
              <c:pt idx="7">
                <c:v>-130328</c:v>
              </c:pt>
              <c:pt idx="8">
                <c:v>-22362.27</c:v>
              </c:pt>
              <c:pt idx="9">
                <c:v>-1348832.51</c:v>
              </c:pt>
            </c:numLit>
          </c:val>
          <c:extLst>
            <c:ext xmlns:c16="http://schemas.microsoft.com/office/drawing/2014/chart" uri="{C3380CC4-5D6E-409C-BE32-E72D297353CC}">
              <c16:uniqueId val="{0000021C-CE26-4B5A-A4DE-B0E82C734091}"/>
            </c:ext>
          </c:extLst>
        </c:ser>
        <c:ser>
          <c:idx val="100"/>
          <c:order val="100"/>
          <c:tx>
            <c:v>2021-Q3 - Sum of net_income</c:v>
          </c:tx>
          <c:spPr>
            <a:solidFill>
              <a:schemeClr val="accent5">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179188</c:v>
              </c:pt>
              <c:pt idx="1">
                <c:v>42398</c:v>
              </c:pt>
              <c:pt idx="2">
                <c:v>280351</c:v>
              </c:pt>
              <c:pt idx="3">
                <c:v>1196545</c:v>
              </c:pt>
              <c:pt idx="4">
                <c:v>23360</c:v>
              </c:pt>
              <c:pt idx="5">
                <c:v>16188</c:v>
              </c:pt>
              <c:pt idx="6">
                <c:v>129809</c:v>
              </c:pt>
              <c:pt idx="7">
                <c:v>445873</c:v>
              </c:pt>
              <c:pt idx="8">
                <c:v>14774</c:v>
              </c:pt>
              <c:pt idx="9">
                <c:v>473256</c:v>
              </c:pt>
            </c:numLit>
          </c:val>
          <c:extLst>
            <c:ext xmlns:c16="http://schemas.microsoft.com/office/drawing/2014/chart" uri="{C3380CC4-5D6E-409C-BE32-E72D297353CC}">
              <c16:uniqueId val="{0000021D-CE26-4B5A-A4DE-B0E82C734091}"/>
            </c:ext>
          </c:extLst>
        </c:ser>
        <c:ser>
          <c:idx val="101"/>
          <c:order val="101"/>
          <c:tx>
            <c:v>2021-Q3 - Sum of operating_income</c:v>
          </c:tx>
          <c:spPr>
            <a:solidFill>
              <a:schemeClr val="accent6">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224130</c:v>
              </c:pt>
              <c:pt idx="1">
                <c:v>20127.64</c:v>
              </c:pt>
              <c:pt idx="2">
                <c:v>-426907.41</c:v>
              </c:pt>
              <c:pt idx="3">
                <c:v>552729</c:v>
              </c:pt>
              <c:pt idx="4">
                <c:v>-28941.8</c:v>
              </c:pt>
              <c:pt idx="5">
                <c:v>-33345.879999999997</c:v>
              </c:pt>
              <c:pt idx="6">
                <c:v>394.13000000000466</c:v>
              </c:pt>
              <c:pt idx="7">
                <c:v>-29593</c:v>
              </c:pt>
              <c:pt idx="8">
                <c:v>-72364.19</c:v>
              </c:pt>
              <c:pt idx="9">
                <c:v>-95376.360000000015</c:v>
              </c:pt>
            </c:numLit>
          </c:val>
          <c:extLst>
            <c:ext xmlns:c16="http://schemas.microsoft.com/office/drawing/2014/chart" uri="{C3380CC4-5D6E-409C-BE32-E72D297353CC}">
              <c16:uniqueId val="{0000021E-CE26-4B5A-A4DE-B0E82C734091}"/>
            </c:ext>
          </c:extLst>
        </c:ser>
        <c:ser>
          <c:idx val="102"/>
          <c:order val="102"/>
          <c:tx>
            <c:v>2021-Q4 - Sum of net_income</c:v>
          </c:tx>
          <c:spPr>
            <a:solidFill>
              <a:schemeClr val="accent1">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22674</c:v>
              </c:pt>
              <c:pt idx="1">
                <c:v>15687</c:v>
              </c:pt>
              <c:pt idx="2">
                <c:v>-893185</c:v>
              </c:pt>
              <c:pt idx="3">
                <c:v>-373073</c:v>
              </c:pt>
              <c:pt idx="4">
                <c:v>-53155</c:v>
              </c:pt>
              <c:pt idx="5">
                <c:v>-91065</c:v>
              </c:pt>
              <c:pt idx="6">
                <c:v>-129060</c:v>
              </c:pt>
              <c:pt idx="7">
                <c:v>67711</c:v>
              </c:pt>
              <c:pt idx="8">
                <c:v>-87158</c:v>
              </c:pt>
              <c:pt idx="9">
                <c:v>-645183</c:v>
              </c:pt>
            </c:numLit>
          </c:val>
          <c:extLst>
            <c:ext xmlns:c16="http://schemas.microsoft.com/office/drawing/2014/chart" uri="{C3380CC4-5D6E-409C-BE32-E72D297353CC}">
              <c16:uniqueId val="{0000021F-CE26-4B5A-A4DE-B0E82C734091}"/>
            </c:ext>
          </c:extLst>
        </c:ser>
        <c:ser>
          <c:idx val="103"/>
          <c:order val="103"/>
          <c:tx>
            <c:v>2021-Q4 - Sum of operating_income</c:v>
          </c:tx>
          <c:spPr>
            <a:solidFill>
              <a:schemeClr val="accent2">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56885</c:v>
              </c:pt>
              <c:pt idx="1">
                <c:v>36439</c:v>
              </c:pt>
              <c:pt idx="2">
                <c:v>-778948.54999999993</c:v>
              </c:pt>
              <c:pt idx="3">
                <c:v>396369</c:v>
              </c:pt>
              <c:pt idx="4">
                <c:v>-85133.06</c:v>
              </c:pt>
              <c:pt idx="5">
                <c:v>-69723.75</c:v>
              </c:pt>
              <c:pt idx="6">
                <c:v>-121522.17</c:v>
              </c:pt>
              <c:pt idx="7">
                <c:v>194816</c:v>
              </c:pt>
              <c:pt idx="8">
                <c:v>-61549.68</c:v>
              </c:pt>
              <c:pt idx="9">
                <c:v>-407185.65</c:v>
              </c:pt>
            </c:numLit>
          </c:val>
          <c:extLst>
            <c:ext xmlns:c16="http://schemas.microsoft.com/office/drawing/2014/chart" uri="{C3380CC4-5D6E-409C-BE32-E72D297353CC}">
              <c16:uniqueId val="{00000220-CE26-4B5A-A4DE-B0E82C734091}"/>
            </c:ext>
          </c:extLst>
        </c:ser>
        <c:ser>
          <c:idx val="104"/>
          <c:order val="104"/>
          <c:tx>
            <c:v>2022-Q1 - Sum of net_income</c:v>
          </c:tx>
          <c:spPr>
            <a:solidFill>
              <a:schemeClr val="accent3">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-89902</c:v>
              </c:pt>
              <c:pt idx="1">
                <c:v>-1579</c:v>
              </c:pt>
              <c:pt idx="2">
                <c:v>-1577921</c:v>
              </c:pt>
              <c:pt idx="3">
                <c:v>-905584</c:v>
              </c:pt>
              <c:pt idx="4">
                <c:v>-114881</c:v>
              </c:pt>
              <c:pt idx="5">
                <c:v>-120940</c:v>
              </c:pt>
              <c:pt idx="6">
                <c:v>-254675</c:v>
              </c:pt>
              <c:pt idx="7">
                <c:v>-277849</c:v>
              </c:pt>
              <c:pt idx="8">
                <c:v>-194703</c:v>
              </c:pt>
              <c:pt idx="9">
                <c:v>-1377168</c:v>
              </c:pt>
            </c:numLit>
          </c:val>
          <c:extLst>
            <c:ext xmlns:c16="http://schemas.microsoft.com/office/drawing/2014/chart" uri="{C3380CC4-5D6E-409C-BE32-E72D297353CC}">
              <c16:uniqueId val="{00000221-CE26-4B5A-A4DE-B0E82C734091}"/>
            </c:ext>
          </c:extLst>
        </c:ser>
        <c:ser>
          <c:idx val="105"/>
          <c:order val="105"/>
          <c:tx>
            <c:v>2022-Q1 - Sum of operating_income</c:v>
          </c:tx>
          <c:spPr>
            <a:solidFill>
              <a:schemeClr val="accent4">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-273161</c:v>
              </c:pt>
              <c:pt idx="1">
                <c:v>10825.33</c:v>
              </c:pt>
              <c:pt idx="2">
                <c:v>-1695175.88</c:v>
              </c:pt>
              <c:pt idx="3">
                <c:v>-684114</c:v>
              </c:pt>
              <c:pt idx="4">
                <c:v>-144711.96</c:v>
              </c:pt>
              <c:pt idx="5">
                <c:v>-145747.16</c:v>
              </c:pt>
              <c:pt idx="6">
                <c:v>-369175.38</c:v>
              </c:pt>
              <c:pt idx="7">
                <c:v>-150924</c:v>
              </c:pt>
              <c:pt idx="8">
                <c:v>-211468.04</c:v>
              </c:pt>
              <c:pt idx="9">
                <c:v>-1375235.78</c:v>
              </c:pt>
            </c:numLit>
          </c:val>
          <c:extLst>
            <c:ext xmlns:c16="http://schemas.microsoft.com/office/drawing/2014/chart" uri="{C3380CC4-5D6E-409C-BE32-E72D297353CC}">
              <c16:uniqueId val="{00000222-CE26-4B5A-A4DE-B0E82C734091}"/>
            </c:ext>
          </c:extLst>
        </c:ser>
        <c:ser>
          <c:idx val="106"/>
          <c:order val="106"/>
          <c:tx>
            <c:v>2022-Q2 - Sum of net_income</c:v>
          </c:tx>
          <c:spPr>
            <a:solidFill>
              <a:schemeClr val="accent5">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143232</c:v>
              </c:pt>
              <c:pt idx="1">
                <c:v>10784</c:v>
              </c:pt>
              <c:pt idx="2">
                <c:v>522137</c:v>
              </c:pt>
              <c:pt idx="3">
                <c:v>798789</c:v>
              </c:pt>
              <c:pt idx="4">
                <c:v>16407</c:v>
              </c:pt>
              <c:pt idx="5">
                <c:v>-38415</c:v>
              </c:pt>
              <c:pt idx="6">
                <c:v>-188114</c:v>
              </c:pt>
              <c:pt idx="7">
                <c:v>760132</c:v>
              </c:pt>
              <c:pt idx="8">
                <c:v>-52406</c:v>
              </c:pt>
              <c:pt idx="9">
                <c:v>329940</c:v>
              </c:pt>
            </c:numLit>
          </c:val>
          <c:extLst>
            <c:ext xmlns:c16="http://schemas.microsoft.com/office/drawing/2014/chart" uri="{C3380CC4-5D6E-409C-BE32-E72D297353CC}">
              <c16:uniqueId val="{00000223-CE26-4B5A-A4DE-B0E82C734091}"/>
            </c:ext>
          </c:extLst>
        </c:ser>
        <c:ser>
          <c:idx val="107"/>
          <c:order val="107"/>
          <c:tx>
            <c:v>2022-Q2 - Sum of operating_income</c:v>
          </c:tx>
          <c:spPr>
            <a:solidFill>
              <a:schemeClr val="accent6">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155947</c:v>
              </c:pt>
              <c:pt idx="1">
                <c:v>28567.11</c:v>
              </c:pt>
              <c:pt idx="2">
                <c:v>1034485.2000000001</c:v>
              </c:pt>
              <c:pt idx="3">
                <c:v>1654695</c:v>
              </c:pt>
              <c:pt idx="4">
                <c:v>11426.219999999998</c:v>
              </c:pt>
              <c:pt idx="5">
                <c:v>-27263.199999999997</c:v>
              </c:pt>
              <c:pt idx="6">
                <c:v>-107306.14</c:v>
              </c:pt>
              <c:pt idx="7">
                <c:v>1158160</c:v>
              </c:pt>
              <c:pt idx="8">
                <c:v>-45330.3</c:v>
              </c:pt>
              <c:pt idx="9">
                <c:v>877920.36</c:v>
              </c:pt>
            </c:numLit>
          </c:val>
          <c:extLst>
            <c:ext xmlns:c16="http://schemas.microsoft.com/office/drawing/2014/chart" uri="{C3380CC4-5D6E-409C-BE32-E72D297353CC}">
              <c16:uniqueId val="{00000224-CE26-4B5A-A4DE-B0E82C734091}"/>
            </c:ext>
          </c:extLst>
        </c:ser>
        <c:ser>
          <c:idx val="108"/>
          <c:order val="108"/>
          <c:tx>
            <c:v>2022-Q3 - Sum of net_income</c:v>
          </c:tx>
          <c:spPr>
            <a:solidFill>
              <a:schemeClr val="accent1"/>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58195</c:v>
              </c:pt>
              <c:pt idx="1">
                <c:v>-3902</c:v>
              </c:pt>
              <c:pt idx="2">
                <c:v>539309</c:v>
              </c:pt>
              <c:pt idx="3">
                <c:v>759316</c:v>
              </c:pt>
              <c:pt idx="4">
                <c:v>20739</c:v>
              </c:pt>
              <c:pt idx="5">
                <c:v>-2661</c:v>
              </c:pt>
              <c:pt idx="6">
                <c:v>57227</c:v>
              </c:pt>
              <c:pt idx="7">
                <c:v>277063</c:v>
              </c:pt>
              <c:pt idx="8">
                <c:v>-36377</c:v>
              </c:pt>
              <c:pt idx="9">
                <c:v>942051</c:v>
              </c:pt>
            </c:numLit>
          </c:val>
          <c:extLst>
            <c:ext xmlns:c16="http://schemas.microsoft.com/office/drawing/2014/chart" uri="{C3380CC4-5D6E-409C-BE32-E72D297353CC}">
              <c16:uniqueId val="{00000225-CE26-4B5A-A4DE-B0E82C734091}"/>
            </c:ext>
          </c:extLst>
        </c:ser>
        <c:ser>
          <c:idx val="109"/>
          <c:order val="109"/>
          <c:tx>
            <c:v>2022-Q3 - Sum of operating_income</c:v>
          </c:tx>
          <c:spPr>
            <a:solidFill>
              <a:schemeClr val="accent2"/>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190180</c:v>
              </c:pt>
              <c:pt idx="1">
                <c:v>7443.17</c:v>
              </c:pt>
              <c:pt idx="2">
                <c:v>934963.19</c:v>
              </c:pt>
              <c:pt idx="3">
                <c:v>1587727</c:v>
              </c:pt>
              <c:pt idx="4">
                <c:v>42980.100000000006</c:v>
              </c:pt>
              <c:pt idx="5">
                <c:v>3681.4799999999996</c:v>
              </c:pt>
              <c:pt idx="6">
                <c:v>140260.09</c:v>
              </c:pt>
              <c:pt idx="7">
                <c:v>395148</c:v>
              </c:pt>
              <c:pt idx="8">
                <c:v>-36389.199999999997</c:v>
              </c:pt>
              <c:pt idx="9">
                <c:v>1458956.5899999999</c:v>
              </c:pt>
            </c:numLit>
          </c:val>
          <c:extLst>
            <c:ext xmlns:c16="http://schemas.microsoft.com/office/drawing/2014/chart" uri="{C3380CC4-5D6E-409C-BE32-E72D297353CC}">
              <c16:uniqueId val="{00000226-CE26-4B5A-A4DE-B0E82C734091}"/>
            </c:ext>
          </c:extLst>
        </c:ser>
        <c:ser>
          <c:idx val="110"/>
          <c:order val="110"/>
          <c:tx>
            <c:v>2022-Q4 - Sum of net_income</c:v>
          </c:tx>
          <c:spPr>
            <a:solidFill>
              <a:schemeClr val="accent3"/>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58244</c:v>
              </c:pt>
              <c:pt idx="1">
                <c:v>61358</c:v>
              </c:pt>
              <c:pt idx="2">
                <c:v>854459</c:v>
              </c:pt>
              <c:pt idx="3">
                <c:v>927752</c:v>
              </c:pt>
              <c:pt idx="4">
                <c:v>39973</c:v>
              </c:pt>
              <c:pt idx="5">
                <c:v>-49096</c:v>
              </c:pt>
              <c:pt idx="6">
                <c:v>23475</c:v>
              </c:pt>
              <c:pt idx="7">
                <c:v>-220192</c:v>
              </c:pt>
              <c:pt idx="8">
                <c:v>-270664</c:v>
              </c:pt>
              <c:pt idx="9">
                <c:v>844356</c:v>
              </c:pt>
            </c:numLit>
          </c:val>
          <c:extLst>
            <c:ext xmlns:c16="http://schemas.microsoft.com/office/drawing/2014/chart" uri="{C3380CC4-5D6E-409C-BE32-E72D297353CC}">
              <c16:uniqueId val="{00000227-CE26-4B5A-A4DE-B0E82C734091}"/>
            </c:ext>
          </c:extLst>
        </c:ser>
        <c:ser>
          <c:idx val="111"/>
          <c:order val="111"/>
          <c:tx>
            <c:v>2022-Q4 - Sum of operating_income</c:v>
          </c:tx>
          <c:spPr>
            <a:solidFill>
              <a:schemeClr val="accent4"/>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73734</c:v>
              </c:pt>
              <c:pt idx="1">
                <c:v>92700.07</c:v>
              </c:pt>
              <c:pt idx="2">
                <c:v>1379327.4100000001</c:v>
              </c:pt>
              <c:pt idx="3">
                <c:v>1520451</c:v>
              </c:pt>
              <c:pt idx="4">
                <c:v>44922.54</c:v>
              </c:pt>
              <c:pt idx="5">
                <c:v>-18279.23</c:v>
              </c:pt>
              <c:pt idx="6">
                <c:v>100326.95999999999</c:v>
              </c:pt>
              <c:pt idx="7">
                <c:v>-385541</c:v>
              </c:pt>
              <c:pt idx="8">
                <c:v>-305729.46000000002</c:v>
              </c:pt>
              <c:pt idx="9">
                <c:v>1377863.51</c:v>
              </c:pt>
            </c:numLit>
          </c:val>
          <c:extLst>
            <c:ext xmlns:c16="http://schemas.microsoft.com/office/drawing/2014/chart" uri="{C3380CC4-5D6E-409C-BE32-E72D297353CC}">
              <c16:uniqueId val="{00000228-CE26-4B5A-A4DE-B0E82C734091}"/>
            </c:ext>
          </c:extLst>
        </c:ser>
        <c:dLbls>
          <c:showLegendKey val="0"/>
          <c:showVal val="0"/>
          <c:showCatName val="0"/>
          <c:showSerName val="0"/>
          <c:showPercent val="0"/>
          <c:showBubbleSize val="0"/>
        </c:dLbls>
        <c:gapWidth val="219"/>
        <c:overlap val="-27"/>
        <c:axId val="1083050960"/>
        <c:axId val="1083051312"/>
      </c:barChart>
      <c:catAx>
        <c:axId val="1083050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3051312"/>
        <c:crosses val="autoZero"/>
        <c:auto val="1"/>
        <c:lblAlgn val="ctr"/>
        <c:lblOffset val="100"/>
        <c:noMultiLvlLbl val="0"/>
      </c:catAx>
      <c:valAx>
        <c:axId val="1083051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3050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[Master_Tables_file.xlsx]PVT_Charts!pvt_oil_threshold</c:name>
    <c:fmtId val="4"/>
  </c:pivotSource>
  <c:chart>
    <c:title>
      <c:tx>
        <c:rich>
          <a:bodyPr rot="0" spcFirstLastPara="1" vertOverflow="ellipsis" vert="horz" wrap="square" anchor="ctr" anchorCtr="1"/>
          <a:lstStyle/>
          <a:p>
            <a:pPr>
              <a:defRPr sz="1400" b="0" i="0" u="none" strike="noStrike" kern="1200" spc="0" baseline="0">
                <a:solidFill>
                  <a:srgbClr val="94A3B8"/>
                </a:solidFill>
                <a:latin typeface="Segoe UI Black" panose="020B0A02040204020203" pitchFamily="34" charset="0"/>
                <a:ea typeface="Segoe UI Black" panose="020B0A02040204020203" pitchFamily="34" charset="0"/>
                <a:cs typeface="+mn-cs"/>
              </a:defRPr>
            </a:pPr>
            <a:r>
              <a:rPr lang="en-US">
                <a:solidFill>
                  <a:srgbClr val="94A3B8"/>
                </a:solidFill>
                <a:latin typeface="Segoe UI Black" panose="020B0A02040204020203" pitchFamily="34" charset="0"/>
                <a:ea typeface="Segoe UI Black" panose="020B0A02040204020203" pitchFamily="34" charset="0"/>
              </a:rPr>
              <a:t>Revenue</a:t>
            </a:r>
            <a:r>
              <a:rPr lang="en-US" baseline="0">
                <a:solidFill>
                  <a:srgbClr val="94A3B8"/>
                </a:solidFill>
                <a:latin typeface="Segoe UI Black" panose="020B0A02040204020203" pitchFamily="34" charset="0"/>
                <a:ea typeface="Segoe UI Black" panose="020B0A02040204020203" pitchFamily="34" charset="0"/>
              </a:rPr>
              <a:t> Margin Vs Oil Price Brackets</a:t>
            </a:r>
            <a:endParaRPr lang="en-US">
              <a:solidFill>
                <a:srgbClr val="94A3B8"/>
              </a:solidFill>
              <a:latin typeface="Segoe UI Black" panose="020B0A02040204020203" pitchFamily="34" charset="0"/>
              <a:ea typeface="Segoe UI Black" panose="020B0A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94A3B8"/>
              </a:solidFill>
              <a:latin typeface="Segoe UI Black" panose="020B0A02040204020203" pitchFamily="34" charset="0"/>
              <a:ea typeface="Segoe UI Black" panose="020B0A02040204020203"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2563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D9770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solidFill>
              <a:schemeClr val="accent3">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rgbClr val="2563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rgbClr val="D9770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solidFill>
              <a:schemeClr val="accent1">
                <a:lumMod val="60000"/>
                <a:lumOff val="40000"/>
              </a:schemeClr>
            </a:solidFill>
          </a:ln>
          <a:effectLst/>
        </c:spPr>
        <c:marker>
          <c:symbol val="circle"/>
          <c:size val="5"/>
          <c:spPr>
            <a:solidFill>
              <a:schemeClr val="accent4">
                <a:lumMod val="60000"/>
                <a:lumOff val="4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PVT_Charts!$C$315:$C$317</c:f>
              <c:strCache>
                <c:ptCount val="1"/>
                <c:pt idx="0">
                  <c:v>Delta Airlines - Sum of operating_income</c:v>
                </c:pt>
              </c:strCache>
            </c:strRef>
          </c:tx>
          <c:spPr>
            <a:solidFill>
              <a:srgbClr val="2563EB"/>
            </a:solidFill>
            <a:ln>
              <a:noFill/>
            </a:ln>
            <a:effectLst/>
          </c:spPr>
          <c:invertIfNegative val="0"/>
          <c:cat>
            <c:strRef>
              <c:f>PVT_Charts!$B$318:$B$322</c:f>
              <c:strCache>
                <c:ptCount val="4"/>
                <c:pt idx="0">
                  <c:v>100_Plus</c:v>
                </c:pt>
                <c:pt idx="1">
                  <c:v>50_to_80</c:v>
                </c:pt>
                <c:pt idx="2">
                  <c:v>80_to_100</c:v>
                </c:pt>
                <c:pt idx="3">
                  <c:v>Below_50</c:v>
                </c:pt>
              </c:strCache>
            </c:strRef>
          </c:cat>
          <c:val>
            <c:numRef>
              <c:f>PVT_Charts!$C$318:$C$322</c:f>
              <c:numCache>
                <c:formatCode>[$$-409]#,##0.00</c:formatCode>
                <c:ptCount val="4"/>
                <c:pt idx="0">
                  <c:v>6654403</c:v>
                </c:pt>
                <c:pt idx="1">
                  <c:v>17043400</c:v>
                </c:pt>
                <c:pt idx="2">
                  <c:v>10242606</c:v>
                </c:pt>
                <c:pt idx="3">
                  <c:v>6969089</c:v>
                </c:pt>
              </c:numCache>
            </c:numRef>
          </c:val>
          <c:extLst>
            <c:ext xmlns:c16="http://schemas.microsoft.com/office/drawing/2014/chart" uri="{C3380CC4-5D6E-409C-BE32-E72D297353CC}">
              <c16:uniqueId val="{00000000-860B-431E-A491-C60E2BC9BB00}"/>
            </c:ext>
          </c:extLst>
        </c:ser>
        <c:ser>
          <c:idx val="1"/>
          <c:order val="1"/>
          <c:tx>
            <c:strRef>
              <c:f>PVT_Charts!$D$315:$D$317</c:f>
              <c:strCache>
                <c:ptCount val="1"/>
                <c:pt idx="0">
                  <c:v>Delta Airlines - Sum of operating_revenue</c:v>
                </c:pt>
              </c:strCache>
            </c:strRef>
          </c:tx>
          <c:spPr>
            <a:solidFill>
              <a:srgbClr val="D97706"/>
            </a:solidFill>
            <a:ln>
              <a:noFill/>
            </a:ln>
            <a:effectLst/>
          </c:spPr>
          <c:invertIfNegative val="0"/>
          <c:cat>
            <c:strRef>
              <c:f>PVT_Charts!$B$318:$B$322</c:f>
              <c:strCache>
                <c:ptCount val="4"/>
                <c:pt idx="0">
                  <c:v>100_Plus</c:v>
                </c:pt>
                <c:pt idx="1">
                  <c:v>50_to_80</c:v>
                </c:pt>
                <c:pt idx="2">
                  <c:v>80_to_100</c:v>
                </c:pt>
                <c:pt idx="3">
                  <c:v>Below_50</c:v>
                </c:pt>
              </c:strCache>
            </c:strRef>
          </c:cat>
          <c:val>
            <c:numRef>
              <c:f>PVT_Charts!$D$318:$D$322</c:f>
              <c:numCache>
                <c:formatCode>[$$-409]#,##0.00</c:formatCode>
                <c:ptCount val="4"/>
                <c:pt idx="0">
                  <c:v>61591220</c:v>
                </c:pt>
                <c:pt idx="1">
                  <c:v>208875697</c:v>
                </c:pt>
                <c:pt idx="2">
                  <c:v>137718907</c:v>
                </c:pt>
                <c:pt idx="3">
                  <c:v>103755803</c:v>
                </c:pt>
              </c:numCache>
            </c:numRef>
          </c:val>
          <c:extLst>
            <c:ext xmlns:c16="http://schemas.microsoft.com/office/drawing/2014/chart" uri="{C3380CC4-5D6E-409C-BE32-E72D297353CC}">
              <c16:uniqueId val="{00000001-860B-431E-A491-C60E2BC9BB00}"/>
            </c:ext>
          </c:extLst>
        </c:ser>
        <c:ser>
          <c:idx val="2"/>
          <c:order val="2"/>
          <c:tx>
            <c:strRef>
              <c:f>PVT_Charts!$E$315:$E$317</c:f>
              <c:strCache>
                <c:ptCount val="1"/>
                <c:pt idx="0">
                  <c:v>Delta Airlines - Operating Margin Percentage</c:v>
                </c:pt>
              </c:strCache>
            </c:strRef>
          </c:tx>
          <c:spPr>
            <a:solidFill>
              <a:schemeClr val="accent3"/>
            </a:solidFill>
            <a:ln>
              <a:solidFill>
                <a:schemeClr val="accent3">
                  <a:lumMod val="75000"/>
                </a:schemeClr>
              </a:solidFill>
            </a:ln>
            <a:effectLst/>
          </c:spPr>
          <c:invertIfNegative val="0"/>
          <c:cat>
            <c:strRef>
              <c:f>PVT_Charts!$B$318:$B$322</c:f>
              <c:strCache>
                <c:ptCount val="4"/>
                <c:pt idx="0">
                  <c:v>100_Plus</c:v>
                </c:pt>
                <c:pt idx="1">
                  <c:v>50_to_80</c:v>
                </c:pt>
                <c:pt idx="2">
                  <c:v>80_to_100</c:v>
                </c:pt>
                <c:pt idx="3">
                  <c:v>Below_50</c:v>
                </c:pt>
              </c:strCache>
            </c:strRef>
          </c:cat>
          <c:val>
            <c:numRef>
              <c:f>PVT_Charts!$E$318:$E$322</c:f>
              <c:numCache>
                <c:formatCode>0.00%</c:formatCode>
                <c:ptCount val="4"/>
                <c:pt idx="0">
                  <c:v>0.10804142213776574</c:v>
                </c:pt>
                <c:pt idx="1">
                  <c:v>8.159589767879985E-2</c:v>
                </c:pt>
                <c:pt idx="2">
                  <c:v>7.4373273961577405E-2</c:v>
                </c:pt>
                <c:pt idx="3">
                  <c:v>6.716818528212827E-2</c:v>
                </c:pt>
              </c:numCache>
            </c:numRef>
          </c:val>
          <c:extLst>
            <c:ext xmlns:c16="http://schemas.microsoft.com/office/drawing/2014/chart" uri="{C3380CC4-5D6E-409C-BE32-E72D297353CC}">
              <c16:uniqueId val="{00000002-860B-431E-A491-C60E2BC9BB00}"/>
            </c:ext>
          </c:extLst>
        </c:ser>
        <c:dLbls>
          <c:showLegendKey val="0"/>
          <c:showVal val="0"/>
          <c:showCatName val="0"/>
          <c:showSerName val="0"/>
          <c:showPercent val="0"/>
          <c:showBubbleSize val="0"/>
        </c:dLbls>
        <c:gapWidth val="219"/>
        <c:overlap val="-27"/>
        <c:axId val="852668488"/>
        <c:axId val="852674472"/>
      </c:barChart>
      <c:catAx>
        <c:axId val="85266848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94A3B8"/>
                </a:solidFill>
                <a:latin typeface="Segoe UI Black" panose="020B0A02040204020203" pitchFamily="34" charset="0"/>
                <a:ea typeface="Segoe UI Black" panose="020B0A02040204020203" pitchFamily="34" charset="0"/>
                <a:cs typeface="+mn-cs"/>
              </a:defRPr>
            </a:pPr>
            <a:endParaRPr lang="en-US"/>
          </a:p>
        </c:txPr>
        <c:crossAx val="852674472"/>
        <c:crosses val="autoZero"/>
        <c:auto val="1"/>
        <c:lblAlgn val="ctr"/>
        <c:lblOffset val="100"/>
        <c:noMultiLvlLbl val="0"/>
      </c:catAx>
      <c:valAx>
        <c:axId val="852674472"/>
        <c:scaling>
          <c:orientation val="minMax"/>
        </c:scaling>
        <c:delete val="0"/>
        <c:axPos val="l"/>
        <c:numFmt formatCode="[$$-409]#,##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94A3B8"/>
                </a:solidFill>
                <a:latin typeface="Segoe UI Black" panose="020B0A02040204020203" pitchFamily="34" charset="0"/>
                <a:ea typeface="Segoe UI Black" panose="020B0A02040204020203" pitchFamily="34" charset="0"/>
                <a:cs typeface="+mn-cs"/>
              </a:defRPr>
            </a:pPr>
            <a:endParaRPr lang="en-US"/>
          </a:p>
        </c:txPr>
        <c:crossAx val="852668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[Master_Tables_file.xlsx]PVT_Charts!Airline_margin</c:name>
    <c:fmtId val="4"/>
  </c:pivotSource>
  <c:chart>
    <c:title>
      <c:tx>
        <c:rich>
          <a:bodyPr rot="0" spcFirstLastPara="1" vertOverflow="ellipsis" vert="horz" wrap="square" anchor="ctr" anchorCtr="1"/>
          <a:lstStyle/>
          <a:p>
            <a:pPr>
              <a:defRPr sz="1400" b="0" i="0" u="none" strike="noStrike" kern="1200" spc="0" baseline="0">
                <a:solidFill>
                  <a:srgbClr val="94A3B8"/>
                </a:solidFill>
                <a:latin typeface="Segoe UI Black" panose="020B0A02040204020203" pitchFamily="34" charset="0"/>
                <a:ea typeface="Segoe UI Black" panose="020B0A02040204020203" pitchFamily="34" charset="0"/>
                <a:cs typeface="+mn-cs"/>
              </a:defRPr>
            </a:pPr>
            <a:r>
              <a:rPr lang="en-US">
                <a:solidFill>
                  <a:srgbClr val="94A3B8"/>
                </a:solidFill>
                <a:latin typeface="Segoe UI Black" panose="020B0A02040204020203" pitchFamily="34" charset="0"/>
                <a:ea typeface="Segoe UI Black" panose="020B0A02040204020203" pitchFamily="34" charset="0"/>
              </a:rPr>
              <a:t>Operating Revenue for Airlines</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94A3B8"/>
              </a:solidFill>
              <a:latin typeface="Segoe UI Black" panose="020B0A02040204020203" pitchFamily="34" charset="0"/>
              <a:ea typeface="Segoe UI Black" panose="020B0A02040204020203"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D9770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D97706"/>
          </a:solidFill>
          <a:ln>
            <a:noFill/>
          </a:ln>
          <a:effectLst/>
        </c:spPr>
        <c:dLbl>
          <c:idx val="0"/>
          <c:layout>
            <c:manualLayout>
              <c:x val="-6.5356942456667483E-2"/>
              <c:y val="-4.98711428401531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PVT_Charts!$C$370</c:f>
              <c:strCache>
                <c:ptCount val="1"/>
                <c:pt idx="0">
                  <c:v>Total</c:v>
                </c:pt>
              </c:strCache>
            </c:strRef>
          </c:tx>
          <c:spPr>
            <a:solidFill>
              <a:srgbClr val="D97706"/>
            </a:solidFill>
            <a:ln>
              <a:noFill/>
            </a:ln>
            <a:effectLst/>
          </c:spPr>
          <c:invertIfNegative val="0"/>
          <c:dLbls>
            <c:dLbl>
              <c:idx val="9"/>
              <c:layout>
                <c:manualLayout>
                  <c:x val="-6.5356942456667483E-2"/>
                  <c:y val="-4.987114284015318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631-4613-8067-136CB00006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PVT_Charts!$B$371:$B$381</c:f>
              <c:strCache>
                <c:ptCount val="10"/>
                <c:pt idx="0">
                  <c:v>Allegiant Airlines</c:v>
                </c:pt>
                <c:pt idx="1">
                  <c:v>Frontier Airlines</c:v>
                </c:pt>
                <c:pt idx="2">
                  <c:v>Hawaiian Airlines</c:v>
                </c:pt>
                <c:pt idx="3">
                  <c:v>Spirit Airlines</c:v>
                </c:pt>
                <c:pt idx="4">
                  <c:v>Alaska Airlines</c:v>
                </c:pt>
                <c:pt idx="5">
                  <c:v>JetBlue Airlines</c:v>
                </c:pt>
                <c:pt idx="6">
                  <c:v>Southwest Airlines</c:v>
                </c:pt>
                <c:pt idx="7">
                  <c:v>American Airlines</c:v>
                </c:pt>
                <c:pt idx="8">
                  <c:v>United Airlines</c:v>
                </c:pt>
                <c:pt idx="9">
                  <c:v>Delta Airlines</c:v>
                </c:pt>
              </c:strCache>
            </c:strRef>
          </c:cat>
          <c:val>
            <c:numRef>
              <c:f>PVT_Charts!$C$371:$C$381</c:f>
              <c:numCache>
                <c:formatCode>[$$-409]#,##0.00</c:formatCode>
                <c:ptCount val="10"/>
                <c:pt idx="0">
                  <c:v>17089211</c:v>
                </c:pt>
                <c:pt idx="1">
                  <c:v>24981992</c:v>
                </c:pt>
                <c:pt idx="2">
                  <c:v>28748645</c:v>
                </c:pt>
                <c:pt idx="3">
                  <c:v>31826265</c:v>
                </c:pt>
                <c:pt idx="4">
                  <c:v>80026901</c:v>
                </c:pt>
                <c:pt idx="5">
                  <c:v>81786288</c:v>
                </c:pt>
                <c:pt idx="6">
                  <c:v>243285408</c:v>
                </c:pt>
                <c:pt idx="7">
                  <c:v>446401682</c:v>
                </c:pt>
                <c:pt idx="8">
                  <c:v>453207144</c:v>
                </c:pt>
                <c:pt idx="9">
                  <c:v>511941627</c:v>
                </c:pt>
              </c:numCache>
            </c:numRef>
          </c:val>
          <c:extLst>
            <c:ext xmlns:c16="http://schemas.microsoft.com/office/drawing/2014/chart" uri="{C3380CC4-5D6E-409C-BE32-E72D297353CC}">
              <c16:uniqueId val="{00000000-E5E7-4EC1-A766-21470EC693B5}"/>
            </c:ext>
          </c:extLst>
        </c:ser>
        <c:dLbls>
          <c:dLblPos val="outEnd"/>
          <c:showLegendKey val="0"/>
          <c:showVal val="1"/>
          <c:showCatName val="0"/>
          <c:showSerName val="0"/>
          <c:showPercent val="0"/>
          <c:showBubbleSize val="0"/>
        </c:dLbls>
        <c:gapWidth val="182"/>
        <c:axId val="1084642576"/>
        <c:axId val="1084638352"/>
      </c:barChart>
      <c:catAx>
        <c:axId val="10846425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94A3B8"/>
                </a:solidFill>
                <a:latin typeface="Segoe UI Black" panose="020B0A02040204020203" pitchFamily="34" charset="0"/>
                <a:ea typeface="Segoe UI Black" panose="020B0A02040204020203" pitchFamily="34" charset="0"/>
                <a:cs typeface="+mn-cs"/>
              </a:defRPr>
            </a:pPr>
            <a:endParaRPr lang="en-US"/>
          </a:p>
        </c:txPr>
        <c:crossAx val="1084638352"/>
        <c:crosses val="autoZero"/>
        <c:auto val="1"/>
        <c:lblAlgn val="ctr"/>
        <c:lblOffset val="100"/>
        <c:noMultiLvlLbl val="0"/>
      </c:catAx>
      <c:valAx>
        <c:axId val="1084638352"/>
        <c:scaling>
          <c:orientation val="minMax"/>
        </c:scaling>
        <c:delete val="1"/>
        <c:axPos val="b"/>
        <c:numFmt formatCode="[$$-409]#,##0.00" sourceLinked="1"/>
        <c:majorTickMark val="none"/>
        <c:minorTickMark val="none"/>
        <c:tickLblPos val="nextTo"/>
        <c:crossAx val="1084642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[Master_Tables_file.xlsx]PVT_Charts!avg_op_income_cares_and_normal_periods</c:name>
    <c:fmtId val="4"/>
  </c:pivotSource>
  <c:chart>
    <c:title>
      <c:tx>
        <c:rich>
          <a:bodyPr rot="0" spcFirstLastPara="1" vertOverflow="ellipsis" vert="horz" wrap="square" anchor="ctr" anchorCtr="1"/>
          <a:lstStyle/>
          <a:p>
            <a:pPr>
              <a:defRPr sz="1400" b="0" i="0" u="none" strike="noStrike" kern="1200" spc="0" baseline="0">
                <a:solidFill>
                  <a:srgbClr val="94A3B8"/>
                </a:solidFill>
                <a:latin typeface="Segoe UI Black" panose="020B0A02040204020203" pitchFamily="34" charset="0"/>
                <a:ea typeface="Segoe UI Black" panose="020B0A02040204020203" pitchFamily="34" charset="0"/>
                <a:cs typeface="+mn-cs"/>
              </a:defRPr>
            </a:pPr>
            <a:r>
              <a:rPr lang="en-US" sz="1400" b="0" i="0" u="none" strike="noStrike" baseline="0"/>
              <a:t>AVERAGE QUARTERLY OPERATING INCOME</a:t>
            </a:r>
            <a:endParaRPr lang="en-US" baseline="0">
              <a:solidFill>
                <a:srgbClr val="94A3B8"/>
              </a:solidFill>
              <a:latin typeface="Segoe UI Black" panose="020B0A02040204020203" pitchFamily="34" charset="0"/>
              <a:ea typeface="Segoe UI Black" panose="020B0A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94A3B8"/>
              </a:solidFill>
              <a:latin typeface="Segoe UI Black" panose="020B0A02040204020203" pitchFamily="34" charset="0"/>
              <a:ea typeface="Segoe UI Black" panose="020B0A02040204020203"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563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DC2626"/>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8303519636921792"/>
                  <c:h val="0.12096672374887085"/>
                </c:manualLayout>
              </c15:layout>
            </c:ext>
          </c:extLst>
        </c:dLbl>
      </c:pivotFmt>
      <c:pivotFmt>
        <c:idx val="4"/>
        <c:spPr>
          <a:solidFill>
            <a:srgbClr val="2563EB"/>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3631257195844871"/>
                  <c:h val="0.12096672374887085"/>
                </c:manualLayout>
              </c15:layout>
            </c:ext>
          </c:extLst>
        </c:dLbl>
      </c:pivotFmt>
    </c:pivotFmts>
    <c:plotArea>
      <c:layout/>
      <c:barChart>
        <c:barDir val="col"/>
        <c:grouping val="clustered"/>
        <c:varyColors val="0"/>
        <c:ser>
          <c:idx val="0"/>
          <c:order val="0"/>
          <c:tx>
            <c:strRef>
              <c:f>PVT_Charts!$L$1</c:f>
              <c:strCache>
                <c:ptCount val="1"/>
                <c:pt idx="0">
                  <c:v>Total</c:v>
                </c:pt>
              </c:strCache>
            </c:strRef>
          </c:tx>
          <c:spPr>
            <a:solidFill>
              <a:srgbClr val="2563EB"/>
            </a:solidFill>
            <a:ln>
              <a:noFill/>
            </a:ln>
            <a:effectLst/>
          </c:spPr>
          <c:invertIfNegative val="0"/>
          <c:dPt>
            <c:idx val="0"/>
            <c:invertIfNegative val="0"/>
            <c:bubble3D val="0"/>
            <c:spPr>
              <a:solidFill>
                <a:srgbClr val="DC2626"/>
              </a:solidFill>
              <a:ln>
                <a:noFill/>
              </a:ln>
              <a:effectLst/>
            </c:spPr>
            <c:extLst>
              <c:ext xmlns:c16="http://schemas.microsoft.com/office/drawing/2014/chart" uri="{C3380CC4-5D6E-409C-BE32-E72D297353CC}">
                <c16:uniqueId val="{00000001-EF9F-4018-ACC1-E88C92106F71}"/>
              </c:ext>
            </c:extLst>
          </c:dPt>
          <c:dLbls>
            <c:dLbl>
              <c:idx val="0"/>
              <c:dLblPos val="outEnd"/>
              <c:showLegendKey val="0"/>
              <c:showVal val="1"/>
              <c:showCatName val="0"/>
              <c:showSerName val="0"/>
              <c:showPercent val="0"/>
              <c:showBubbleSize val="0"/>
              <c:extLst>
                <c:ext xmlns:c15="http://schemas.microsoft.com/office/drawing/2012/chart" uri="{CE6537A1-D6FC-4f65-9D91-7224C49458BB}">
                  <c15:layout>
                    <c:manualLayout>
                      <c:w val="0.28303519636921792"/>
                      <c:h val="0.12096672374887085"/>
                    </c:manualLayout>
                  </c15:layout>
                </c:ext>
                <c:ext xmlns:c16="http://schemas.microsoft.com/office/drawing/2014/chart" uri="{C3380CC4-5D6E-409C-BE32-E72D297353CC}">
                  <c16:uniqueId val="{00000001-EF9F-4018-ACC1-E88C92106F71}"/>
                </c:ext>
              </c:extLst>
            </c:dLbl>
            <c:dLbl>
              <c:idx val="1"/>
              <c:dLblPos val="outEnd"/>
              <c:showLegendKey val="0"/>
              <c:showVal val="1"/>
              <c:showCatName val="0"/>
              <c:showSerName val="0"/>
              <c:showPercent val="0"/>
              <c:showBubbleSize val="0"/>
              <c:extLst>
                <c:ext xmlns:c15="http://schemas.microsoft.com/office/drawing/2012/chart" uri="{CE6537A1-D6FC-4f65-9D91-7224C49458BB}">
                  <c15:layout>
                    <c:manualLayout>
                      <c:w val="0.23631257195844871"/>
                      <c:h val="0.12096672374887085"/>
                    </c:manualLayout>
                  </c15:layout>
                </c:ext>
                <c:ext xmlns:c16="http://schemas.microsoft.com/office/drawing/2014/chart" uri="{C3380CC4-5D6E-409C-BE32-E72D297353CC}">
                  <c16:uniqueId val="{00000002-EF9F-4018-ACC1-E88C92106F7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PVT_Charts!$K$2:$K$4</c:f>
              <c:strCache>
                <c:ptCount val="2"/>
                <c:pt idx="0">
                  <c:v>CARES_Period</c:v>
                </c:pt>
                <c:pt idx="1">
                  <c:v>Normal_Period</c:v>
                </c:pt>
              </c:strCache>
            </c:strRef>
          </c:cat>
          <c:val>
            <c:numRef>
              <c:f>PVT_Charts!$L$2:$L$4</c:f>
              <c:numCache>
                <c:formatCode>[$$-409]#,##0</c:formatCode>
                <c:ptCount val="2"/>
                <c:pt idx="0">
                  <c:v>-2115246.6</c:v>
                </c:pt>
                <c:pt idx="1">
                  <c:v>1009524.1372549019</c:v>
                </c:pt>
              </c:numCache>
            </c:numRef>
          </c:val>
          <c:extLst>
            <c:ext xmlns:c16="http://schemas.microsoft.com/office/drawing/2014/chart" uri="{C3380CC4-5D6E-409C-BE32-E72D297353CC}">
              <c16:uniqueId val="{00000000-EF9F-4018-ACC1-E88C92106F71}"/>
            </c:ext>
          </c:extLst>
        </c:ser>
        <c:dLbls>
          <c:dLblPos val="outEnd"/>
          <c:showLegendKey val="0"/>
          <c:showVal val="1"/>
          <c:showCatName val="0"/>
          <c:showSerName val="0"/>
          <c:showPercent val="0"/>
          <c:showBubbleSize val="0"/>
        </c:dLbls>
        <c:gapWidth val="219"/>
        <c:overlap val="-27"/>
        <c:axId val="582942728"/>
        <c:axId val="582943080"/>
      </c:barChart>
      <c:catAx>
        <c:axId val="58294272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582943080"/>
        <c:crosses val="autoZero"/>
        <c:auto val="1"/>
        <c:lblAlgn val="ctr"/>
        <c:lblOffset val="100"/>
        <c:noMultiLvlLbl val="0"/>
      </c:catAx>
      <c:valAx>
        <c:axId val="582943080"/>
        <c:scaling>
          <c:orientation val="minMax"/>
        </c:scaling>
        <c:delete val="1"/>
        <c:axPos val="l"/>
        <c:numFmt formatCode="[$$-409]#,##0" sourceLinked="1"/>
        <c:majorTickMark val="out"/>
        <c:minorTickMark val="none"/>
        <c:tickLblPos val="nextTo"/>
        <c:crossAx val="5829427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[Master_Tables_file.xlsx]PVT_Charts!bailout_money</c:name>
    <c:fmtId val="4"/>
  </c:pivotSource>
  <c:chart>
    <c:title>
      <c:tx>
        <c:rich>
          <a:bodyPr rot="0" spcFirstLastPara="1" vertOverflow="ellipsis" vert="horz" wrap="square" anchor="ctr" anchorCtr="1"/>
          <a:lstStyle/>
          <a:p>
            <a:pPr>
              <a:defRPr sz="1400" b="0" i="0" u="none" strike="noStrike" kern="1200" spc="0" baseline="0">
                <a:solidFill>
                  <a:srgbClr val="94A3B8"/>
                </a:solidFill>
                <a:latin typeface="Segoe UI Black" panose="020B0A02040204020203" pitchFamily="34" charset="0"/>
                <a:ea typeface="Segoe UI Black" panose="020B0A02040204020203" pitchFamily="34" charset="0"/>
                <a:cs typeface="+mn-cs"/>
              </a:defRPr>
            </a:pPr>
            <a:r>
              <a:rPr lang="en-US" sz="1400" b="0" i="0" u="none" strike="noStrike" baseline="0">
                <a:solidFill>
                  <a:srgbClr val="94A3B8"/>
                </a:solidFill>
                <a:latin typeface="Segoe UI Black" panose="020B0A02040204020203" pitchFamily="34" charset="0"/>
                <a:ea typeface="Segoe UI Black" panose="020B0A02040204020203" pitchFamily="34" charset="0"/>
              </a:rPr>
              <a:t>NET FINANCIAL ASSISTANCE BY AIRLINE</a:t>
            </a:r>
            <a:endParaRPr lang="en-US">
              <a:solidFill>
                <a:srgbClr val="94A3B8"/>
              </a:solidFill>
              <a:latin typeface="Segoe UI Black" panose="020B0A02040204020203" pitchFamily="34" charset="0"/>
              <a:ea typeface="Segoe UI Black" panose="020B0A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94A3B8"/>
              </a:solidFill>
              <a:latin typeface="Segoe UI Black" panose="020B0A02040204020203" pitchFamily="34" charset="0"/>
              <a:ea typeface="Segoe UI Black" panose="020B0A02040204020203"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9770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DC2626"/>
          </a:solidFill>
          <a:ln>
            <a:noFill/>
          </a:ln>
          <a:effectLst/>
        </c:spPr>
        <c:dLbl>
          <c:idx val="0"/>
          <c:layout>
            <c:manualLayout>
              <c:x val="-0.31496062992125984"/>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D97706"/>
          </a:solidFill>
          <a:ln>
            <a:noFill/>
          </a:ln>
          <a:effectLst/>
        </c:spPr>
        <c:dLbl>
          <c:idx val="0"/>
          <c:layout>
            <c:manualLayout>
              <c:x val="0"/>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PVT_Charts!$L$11</c:f>
              <c:strCache>
                <c:ptCount val="1"/>
                <c:pt idx="0">
                  <c:v>Total</c:v>
                </c:pt>
              </c:strCache>
            </c:strRef>
          </c:tx>
          <c:spPr>
            <a:solidFill>
              <a:srgbClr val="D97706"/>
            </a:solidFill>
            <a:ln>
              <a:noFill/>
            </a:ln>
            <a:effectLst/>
          </c:spPr>
          <c:invertIfNegative val="0"/>
          <c:dPt>
            <c:idx val="0"/>
            <c:invertIfNegative val="0"/>
            <c:bubble3D val="0"/>
            <c:spPr>
              <a:solidFill>
                <a:srgbClr val="DC2626"/>
              </a:solidFill>
              <a:ln>
                <a:noFill/>
              </a:ln>
              <a:effectLst/>
            </c:spPr>
            <c:extLst>
              <c:ext xmlns:c16="http://schemas.microsoft.com/office/drawing/2014/chart" uri="{C3380CC4-5D6E-409C-BE32-E72D297353CC}">
                <c16:uniqueId val="{00000001-CD5D-465A-B798-6CE2DE19DC99}"/>
              </c:ext>
            </c:extLst>
          </c:dPt>
          <c:dLbls>
            <c:dLbl>
              <c:idx val="0"/>
              <c:layout>
                <c:manualLayout>
                  <c:x val="-0.31496062992125984"/>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D5D-465A-B798-6CE2DE19DC99}"/>
                </c:ext>
              </c:extLst>
            </c:dLbl>
            <c:dLbl>
              <c:idx val="9"/>
              <c:layout>
                <c:manualLayout>
                  <c:x val="0"/>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D5D-465A-B798-6CE2DE19DC9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PVT_Charts!$K$12:$K$22</c:f>
              <c:strCache>
                <c:ptCount val="10"/>
                <c:pt idx="0">
                  <c:v>Delta Airlines</c:v>
                </c:pt>
                <c:pt idx="1">
                  <c:v>Allegiant Airlines</c:v>
                </c:pt>
                <c:pt idx="2">
                  <c:v>Spirit Airlines</c:v>
                </c:pt>
                <c:pt idx="3">
                  <c:v>Frontier Airlines</c:v>
                </c:pt>
                <c:pt idx="4">
                  <c:v>Hawaiian Airlines</c:v>
                </c:pt>
                <c:pt idx="5">
                  <c:v>JetBlue Airlines</c:v>
                </c:pt>
                <c:pt idx="6">
                  <c:v>Alaska Airlines</c:v>
                </c:pt>
                <c:pt idx="7">
                  <c:v>Southwest Airlines</c:v>
                </c:pt>
                <c:pt idx="8">
                  <c:v>United Airlines</c:v>
                </c:pt>
                <c:pt idx="9">
                  <c:v>American Airlines</c:v>
                </c:pt>
              </c:strCache>
            </c:strRef>
          </c:cat>
          <c:val>
            <c:numRef>
              <c:f>PVT_Charts!$L$12:$L$22</c:f>
              <c:numCache>
                <c:formatCode>[$$-409]#,##0</c:formatCode>
                <c:ptCount val="10"/>
                <c:pt idx="0">
                  <c:v>-1830299</c:v>
                </c:pt>
                <c:pt idx="1">
                  <c:v>233257.21000000002</c:v>
                </c:pt>
                <c:pt idx="2">
                  <c:v>256640.58000000007</c:v>
                </c:pt>
                <c:pt idx="3">
                  <c:v>483144.20000000007</c:v>
                </c:pt>
                <c:pt idx="4">
                  <c:v>567076.77999999991</c:v>
                </c:pt>
                <c:pt idx="5">
                  <c:v>1409365.1800000002</c:v>
                </c:pt>
                <c:pt idx="6">
                  <c:v>1901475</c:v>
                </c:pt>
                <c:pt idx="7">
                  <c:v>4675193</c:v>
                </c:pt>
                <c:pt idx="8">
                  <c:v>6305996.4600000009</c:v>
                </c:pt>
                <c:pt idx="9">
                  <c:v>8853308.9600000009</c:v>
                </c:pt>
              </c:numCache>
            </c:numRef>
          </c:val>
          <c:extLst>
            <c:ext xmlns:c16="http://schemas.microsoft.com/office/drawing/2014/chart" uri="{C3380CC4-5D6E-409C-BE32-E72D297353CC}">
              <c16:uniqueId val="{00000000-CD5D-465A-B798-6CE2DE19DC99}"/>
            </c:ext>
          </c:extLst>
        </c:ser>
        <c:dLbls>
          <c:dLblPos val="outEnd"/>
          <c:showLegendKey val="0"/>
          <c:showVal val="1"/>
          <c:showCatName val="0"/>
          <c:showSerName val="0"/>
          <c:showPercent val="0"/>
          <c:showBubbleSize val="0"/>
        </c:dLbls>
        <c:gapWidth val="182"/>
        <c:axId val="490639432"/>
        <c:axId val="490649288"/>
      </c:barChart>
      <c:catAx>
        <c:axId val="4906394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94A3B8"/>
                </a:solidFill>
                <a:latin typeface="Segoe UI Black" panose="020B0A02040204020203" pitchFamily="34" charset="0"/>
                <a:ea typeface="Segoe UI Black" panose="020B0A02040204020203" pitchFamily="34" charset="0"/>
                <a:cs typeface="+mn-cs"/>
              </a:defRPr>
            </a:pPr>
            <a:endParaRPr lang="en-US"/>
          </a:p>
        </c:txPr>
        <c:crossAx val="490649288"/>
        <c:crosses val="autoZero"/>
        <c:auto val="1"/>
        <c:lblAlgn val="ctr"/>
        <c:lblOffset val="100"/>
        <c:noMultiLvlLbl val="0"/>
      </c:catAx>
      <c:valAx>
        <c:axId val="490649288"/>
        <c:scaling>
          <c:orientation val="minMax"/>
        </c:scaling>
        <c:delete val="1"/>
        <c:axPos val="b"/>
        <c:numFmt formatCode="[$$-409]#,##0" sourceLinked="1"/>
        <c:majorTickMark val="none"/>
        <c:minorTickMark val="none"/>
        <c:tickLblPos val="nextTo"/>
        <c:crossAx val="490639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[Master_Tables_file.xlsx]PVT_Charts!PivotTable3</c:name>
    <c:fmtId val="4"/>
  </c:pivotSource>
  <c:chart>
    <c:title>
      <c:tx>
        <c:rich>
          <a:bodyPr rot="0" spcFirstLastPara="1" vertOverflow="ellipsis" vert="horz" wrap="square" anchor="ctr" anchorCtr="1"/>
          <a:lstStyle/>
          <a:p>
            <a:pPr>
              <a:defRPr sz="1400" b="0" i="0" u="none" strike="noStrike" kern="1200" spc="0" baseline="0">
                <a:solidFill>
                  <a:srgbClr val="94A3B8"/>
                </a:solidFill>
                <a:latin typeface="Segoe UI Black" panose="020B0A02040204020203" pitchFamily="34" charset="0"/>
                <a:ea typeface="Segoe UI Black" panose="020B0A02040204020203" pitchFamily="34" charset="0"/>
                <a:cs typeface="+mn-cs"/>
              </a:defRPr>
            </a:pPr>
            <a:r>
              <a:rPr lang="en-US" sz="1400" b="0" i="0" u="none" strike="noStrike" baseline="0">
                <a:solidFill>
                  <a:srgbClr val="94A3B8"/>
                </a:solidFill>
                <a:latin typeface="Segoe UI Black" panose="020B0A02040204020203" pitchFamily="34" charset="0"/>
                <a:ea typeface="Segoe UI Black" panose="020B0A02040204020203" pitchFamily="34" charset="0"/>
              </a:rPr>
              <a:t>Recovery Profile: ANNUAL INCOME VS REVENUE</a:t>
            </a:r>
            <a:endParaRPr lang="en-US">
              <a:solidFill>
                <a:srgbClr val="94A3B8"/>
              </a:solidFill>
              <a:latin typeface="Segoe UI Black" panose="020B0A02040204020203" pitchFamily="34" charset="0"/>
              <a:ea typeface="Segoe UI Black" panose="020B0A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94A3B8"/>
              </a:solidFill>
              <a:latin typeface="Segoe UI Black" panose="020B0A02040204020203" pitchFamily="34" charset="0"/>
              <a:ea typeface="Segoe UI Black" panose="020B0A02040204020203" pitchFamily="34" charset="0"/>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2563EB"/>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PVT_Charts!$F$3</c:f>
              <c:strCache>
                <c:ptCount val="1"/>
                <c:pt idx="0">
                  <c:v>Sum of operating_revenue</c:v>
                </c:pt>
              </c:strCache>
            </c:strRef>
          </c:tx>
          <c:spPr>
            <a:ln w="28575" cap="rnd">
              <a:solidFill>
                <a:srgbClr val="2563EB"/>
              </a:solidFill>
              <a:round/>
            </a:ln>
            <a:effectLst/>
          </c:spPr>
          <c:marker>
            <c:symbol val="none"/>
          </c:marker>
          <c:cat>
            <c:strRef>
              <c:f>PVT_Charts!$E$4:$E$9</c:f>
              <c:strCache>
                <c:ptCount val="5"/>
                <c:pt idx="0">
                  <c:v>2018</c:v>
                </c:pt>
                <c:pt idx="1">
                  <c:v>2019</c:v>
                </c:pt>
                <c:pt idx="2">
                  <c:v>2020</c:v>
                </c:pt>
                <c:pt idx="3">
                  <c:v>2021</c:v>
                </c:pt>
                <c:pt idx="4">
                  <c:v>2022</c:v>
                </c:pt>
              </c:strCache>
            </c:strRef>
          </c:cat>
          <c:val>
            <c:numRef>
              <c:f>PVT_Charts!$F$4:$F$9</c:f>
              <c:numCache>
                <c:formatCode>General</c:formatCode>
                <c:ptCount val="5"/>
                <c:pt idx="0">
                  <c:v>178157266</c:v>
                </c:pt>
                <c:pt idx="1">
                  <c:v>186357426</c:v>
                </c:pt>
                <c:pt idx="2">
                  <c:v>70205647</c:v>
                </c:pt>
                <c:pt idx="3">
                  <c:v>121019882</c:v>
                </c:pt>
                <c:pt idx="4">
                  <c:v>200537347</c:v>
                </c:pt>
              </c:numCache>
            </c:numRef>
          </c:val>
          <c:smooth val="0"/>
          <c:extLst>
            <c:ext xmlns:c16="http://schemas.microsoft.com/office/drawing/2014/chart" uri="{C3380CC4-5D6E-409C-BE32-E72D297353CC}">
              <c16:uniqueId val="{00000000-0A44-4A11-AAB9-2C15B5A1EACF}"/>
            </c:ext>
          </c:extLst>
        </c:ser>
        <c:dLbls>
          <c:showLegendKey val="0"/>
          <c:showVal val="0"/>
          <c:showCatName val="0"/>
          <c:showSerName val="0"/>
          <c:showPercent val="0"/>
          <c:showBubbleSize val="0"/>
        </c:dLbls>
        <c:marker val="1"/>
        <c:smooth val="0"/>
        <c:axId val="934357464"/>
        <c:axId val="934366616"/>
      </c:lineChart>
      <c:lineChart>
        <c:grouping val="standard"/>
        <c:varyColors val="0"/>
        <c:ser>
          <c:idx val="1"/>
          <c:order val="1"/>
          <c:tx>
            <c:strRef>
              <c:f>PVT_Charts!$G$3</c:f>
              <c:strCache>
                <c:ptCount val="1"/>
                <c:pt idx="0">
                  <c:v>Sum of net_income</c:v>
                </c:pt>
              </c:strCache>
            </c:strRef>
          </c:tx>
          <c:spPr>
            <a:ln w="28575" cap="rnd">
              <a:solidFill>
                <a:schemeClr val="accent2"/>
              </a:solidFill>
              <a:round/>
            </a:ln>
            <a:effectLst/>
          </c:spPr>
          <c:marker>
            <c:symbol val="none"/>
          </c:marker>
          <c:cat>
            <c:strRef>
              <c:f>PVT_Charts!$E$4:$E$9</c:f>
              <c:strCache>
                <c:ptCount val="5"/>
                <c:pt idx="0">
                  <c:v>2018</c:v>
                </c:pt>
                <c:pt idx="1">
                  <c:v>2019</c:v>
                </c:pt>
                <c:pt idx="2">
                  <c:v>2020</c:v>
                </c:pt>
                <c:pt idx="3">
                  <c:v>2021</c:v>
                </c:pt>
                <c:pt idx="4">
                  <c:v>2022</c:v>
                </c:pt>
              </c:strCache>
            </c:strRef>
          </c:cat>
          <c:val>
            <c:numRef>
              <c:f>PVT_Charts!$G$4:$G$9</c:f>
              <c:numCache>
                <c:formatCode>General</c:formatCode>
                <c:ptCount val="5"/>
                <c:pt idx="0">
                  <c:v>11510002</c:v>
                </c:pt>
                <c:pt idx="1">
                  <c:v>14511214</c:v>
                </c:pt>
                <c:pt idx="2">
                  <c:v>-35012813</c:v>
                </c:pt>
                <c:pt idx="3">
                  <c:v>-2864113</c:v>
                </c:pt>
                <c:pt idx="4">
                  <c:v>2267909</c:v>
                </c:pt>
              </c:numCache>
            </c:numRef>
          </c:val>
          <c:smooth val="0"/>
          <c:extLst>
            <c:ext xmlns:c16="http://schemas.microsoft.com/office/drawing/2014/chart" uri="{C3380CC4-5D6E-409C-BE32-E72D297353CC}">
              <c16:uniqueId val="{00000001-0A44-4A11-AAB9-2C15B5A1EACF}"/>
            </c:ext>
          </c:extLst>
        </c:ser>
        <c:dLbls>
          <c:showLegendKey val="0"/>
          <c:showVal val="0"/>
          <c:showCatName val="0"/>
          <c:showSerName val="0"/>
          <c:showPercent val="0"/>
          <c:showBubbleSize val="0"/>
        </c:dLbls>
        <c:marker val="1"/>
        <c:smooth val="0"/>
        <c:axId val="1006530040"/>
        <c:axId val="1006530392"/>
      </c:lineChart>
      <c:catAx>
        <c:axId val="9343574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94A3B8"/>
                </a:solidFill>
                <a:latin typeface="Segoe UI Black" panose="020B0A02040204020203" pitchFamily="34" charset="0"/>
                <a:ea typeface="Segoe UI Black" panose="020B0A02040204020203" pitchFamily="34" charset="0"/>
                <a:cs typeface="+mn-cs"/>
              </a:defRPr>
            </a:pPr>
            <a:endParaRPr lang="en-US"/>
          </a:p>
        </c:txPr>
        <c:crossAx val="934366616"/>
        <c:crosses val="autoZero"/>
        <c:auto val="1"/>
        <c:lblAlgn val="ctr"/>
        <c:lblOffset val="100"/>
        <c:noMultiLvlLbl val="0"/>
      </c:catAx>
      <c:valAx>
        <c:axId val="9343666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94A3B8"/>
                </a:solidFill>
                <a:latin typeface="Segoe UI Black" panose="020B0A02040204020203" pitchFamily="34" charset="0"/>
                <a:ea typeface="Segoe UI Black" panose="020B0A02040204020203" pitchFamily="34" charset="0"/>
                <a:cs typeface="+mn-cs"/>
              </a:defRPr>
            </a:pPr>
            <a:endParaRPr lang="en-US"/>
          </a:p>
        </c:txPr>
        <c:crossAx val="934357464"/>
        <c:crosses val="autoZero"/>
        <c:crossBetween val="between"/>
      </c:valAx>
      <c:valAx>
        <c:axId val="100653039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94A3B8"/>
                </a:solidFill>
                <a:latin typeface="Segoe UI Black" panose="020B0A02040204020203" pitchFamily="34" charset="0"/>
                <a:ea typeface="Segoe UI Black" panose="020B0A02040204020203" pitchFamily="34" charset="0"/>
                <a:cs typeface="+mn-cs"/>
              </a:defRPr>
            </a:pPr>
            <a:endParaRPr lang="en-US"/>
          </a:p>
        </c:txPr>
        <c:crossAx val="1006530040"/>
        <c:crosses val="max"/>
        <c:crossBetween val="between"/>
      </c:valAx>
      <c:catAx>
        <c:axId val="1006530040"/>
        <c:scaling>
          <c:orientation val="minMax"/>
        </c:scaling>
        <c:delete val="1"/>
        <c:axPos val="b"/>
        <c:numFmt formatCode="General" sourceLinked="1"/>
        <c:majorTickMark val="out"/>
        <c:minorTickMark val="none"/>
        <c:tickLblPos val="nextTo"/>
        <c:crossAx val="1006530392"/>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1.png"/><Relationship Id="rId7" Type="http://schemas.openxmlformats.org/officeDocument/2006/relationships/image" Target="../media/image2.png"/><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90</xdr:col>
      <xdr:colOff>1038225</xdr:colOff>
      <xdr:row>51</xdr:row>
      <xdr:rowOff>76200</xdr:rowOff>
    </xdr:from>
    <xdr:to>
      <xdr:col>93</xdr:col>
      <xdr:colOff>752475</xdr:colOff>
      <xdr:row>65</xdr:row>
      <xdr:rowOff>152400</xdr:rowOff>
    </xdr:to>
    <xdr:graphicFrame macro="">
      <xdr:nvGraphicFramePr>
        <xdr:cNvPr id="9" name="Chart 8">
          <a:extLst>
            <a:ext uri="{FF2B5EF4-FFF2-40B4-BE49-F238E27FC236}">
              <a16:creationId xmlns:a16="http://schemas.microsoft.com/office/drawing/2014/main" id="{17B14C8A-1B13-5426-F82A-0B7A22F6AA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83345</xdr:rowOff>
    </xdr:from>
    <xdr:to>
      <xdr:col>4</xdr:col>
      <xdr:colOff>154781</xdr:colOff>
      <xdr:row>43</xdr:row>
      <xdr:rowOff>107157</xdr:rowOff>
    </xdr:to>
    <xdr:sp macro="" textlink="">
      <xdr:nvSpPr>
        <xdr:cNvPr id="9" name="Rectangle: Rounded Corners 8">
          <a:extLst>
            <a:ext uri="{FF2B5EF4-FFF2-40B4-BE49-F238E27FC236}">
              <a16:creationId xmlns:a16="http://schemas.microsoft.com/office/drawing/2014/main" id="{7D600C06-ACFD-4494-822C-37329DF19A1B}"/>
            </a:ext>
          </a:extLst>
        </xdr:cNvPr>
        <xdr:cNvSpPr/>
      </xdr:nvSpPr>
      <xdr:spPr>
        <a:xfrm>
          <a:off x="0" y="83345"/>
          <a:ext cx="2583656" cy="8215312"/>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71438</xdr:colOff>
      <xdr:row>4</xdr:row>
      <xdr:rowOff>129602</xdr:rowOff>
    </xdr:from>
    <xdr:to>
      <xdr:col>4</xdr:col>
      <xdr:colOff>83344</xdr:colOff>
      <xdr:row>13</xdr:row>
      <xdr:rowOff>22761</xdr:rowOff>
    </xdr:to>
    <mc:AlternateContent xmlns:mc="http://schemas.openxmlformats.org/markup-compatibility/2006" xmlns:a14="http://schemas.microsoft.com/office/drawing/2010/main">
      <mc:Choice Requires="a14">
        <xdr:graphicFrame macro="">
          <xdr:nvGraphicFramePr>
            <xdr:cNvPr id="3" name="Airline_Name">
              <a:extLst>
                <a:ext uri="{FF2B5EF4-FFF2-40B4-BE49-F238E27FC236}">
                  <a16:creationId xmlns:a16="http://schemas.microsoft.com/office/drawing/2014/main" id="{6BB6841E-9B7A-43AB-8454-0E92203E8F58}"/>
                </a:ext>
              </a:extLst>
            </xdr:cNvPr>
            <xdr:cNvGraphicFramePr/>
          </xdr:nvGraphicFramePr>
          <xdr:xfrm>
            <a:off x="0" y="0"/>
            <a:ext cx="0" cy="0"/>
          </xdr:xfrm>
          <a:graphic>
            <a:graphicData uri="http://schemas.microsoft.com/office/drawing/2010/slicer">
              <sle:slicer xmlns:sle="http://schemas.microsoft.com/office/drawing/2010/slicer" name="Airline_Name"/>
            </a:graphicData>
          </a:graphic>
        </xdr:graphicFrame>
      </mc:Choice>
      <mc:Fallback xmlns="">
        <xdr:sp macro="" textlink="">
          <xdr:nvSpPr>
            <xdr:cNvPr id="0" name=""/>
            <xdr:cNvSpPr>
              <a:spLocks noTextEdit="1"/>
            </xdr:cNvSpPr>
          </xdr:nvSpPr>
          <xdr:spPr>
            <a:xfrm>
              <a:off x="71438" y="891602"/>
              <a:ext cx="2440781" cy="16076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85725</xdr:colOff>
      <xdr:row>26</xdr:row>
      <xdr:rowOff>165674</xdr:rowOff>
    </xdr:from>
    <xdr:to>
      <xdr:col>4</xdr:col>
      <xdr:colOff>97650</xdr:colOff>
      <xdr:row>29</xdr:row>
      <xdr:rowOff>144243</xdr:rowOff>
    </xdr:to>
    <mc:AlternateContent xmlns:mc="http://schemas.openxmlformats.org/markup-compatibility/2006" xmlns:a14="http://schemas.microsoft.com/office/drawing/2010/main">
      <mc:Choice Requires="a14">
        <xdr:graphicFrame macro="">
          <xdr:nvGraphicFramePr>
            <xdr:cNvPr id="4" name="CARES_FLAG">
              <a:extLst>
                <a:ext uri="{FF2B5EF4-FFF2-40B4-BE49-F238E27FC236}">
                  <a16:creationId xmlns:a16="http://schemas.microsoft.com/office/drawing/2014/main" id="{8CC4558B-C576-4801-B9B4-E7A6CF4926E0}"/>
                </a:ext>
              </a:extLst>
            </xdr:cNvPr>
            <xdr:cNvGraphicFramePr/>
          </xdr:nvGraphicFramePr>
          <xdr:xfrm>
            <a:off x="0" y="0"/>
            <a:ext cx="0" cy="0"/>
          </xdr:xfrm>
          <a:graphic>
            <a:graphicData uri="http://schemas.microsoft.com/office/drawing/2010/slicer">
              <sle:slicer xmlns:sle="http://schemas.microsoft.com/office/drawing/2010/slicer" name="CARES_FLAG"/>
            </a:graphicData>
          </a:graphic>
        </xdr:graphicFrame>
      </mc:Choice>
      <mc:Fallback xmlns="">
        <xdr:sp macro="" textlink="">
          <xdr:nvSpPr>
            <xdr:cNvPr id="0" name=""/>
            <xdr:cNvSpPr>
              <a:spLocks noTextEdit="1"/>
            </xdr:cNvSpPr>
          </xdr:nvSpPr>
          <xdr:spPr>
            <a:xfrm>
              <a:off x="85725" y="5118674"/>
              <a:ext cx="2440800" cy="5500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96015</xdr:colOff>
      <xdr:row>17</xdr:row>
      <xdr:rowOff>91468</xdr:rowOff>
    </xdr:from>
    <xdr:to>
      <xdr:col>4</xdr:col>
      <xdr:colOff>107940</xdr:colOff>
      <xdr:row>25</xdr:row>
      <xdr:rowOff>178946</xdr:rowOff>
    </xdr:to>
    <mc:AlternateContent xmlns:mc="http://schemas.openxmlformats.org/markup-compatibility/2006" xmlns:a14="http://schemas.microsoft.com/office/drawing/2010/main">
      <mc:Choice Requires="a14">
        <xdr:graphicFrame macro="">
          <xdr:nvGraphicFramePr>
            <xdr:cNvPr id="6" name="Year">
              <a:extLst>
                <a:ext uri="{FF2B5EF4-FFF2-40B4-BE49-F238E27FC236}">
                  <a16:creationId xmlns:a16="http://schemas.microsoft.com/office/drawing/2014/main" id="{0DD5D973-D497-42C8-9075-C81DFBDB0ECB}"/>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6015" y="3329968"/>
              <a:ext cx="2440800" cy="161147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283370</xdr:colOff>
      <xdr:row>0</xdr:row>
      <xdr:rowOff>57150</xdr:rowOff>
    </xdr:from>
    <xdr:to>
      <xdr:col>11</xdr:col>
      <xdr:colOff>357189</xdr:colOff>
      <xdr:row>4</xdr:row>
      <xdr:rowOff>119062</xdr:rowOff>
    </xdr:to>
    <xdr:sp macro="" textlink="">
      <xdr:nvSpPr>
        <xdr:cNvPr id="8" name="Rectangle: Rounded Corners 7">
          <a:extLst>
            <a:ext uri="{FF2B5EF4-FFF2-40B4-BE49-F238E27FC236}">
              <a16:creationId xmlns:a16="http://schemas.microsoft.com/office/drawing/2014/main" id="{C3F26F6C-696C-4170-A091-C0F3A791BE99}"/>
            </a:ext>
          </a:extLst>
        </xdr:cNvPr>
        <xdr:cNvSpPr/>
      </xdr:nvSpPr>
      <xdr:spPr>
        <a:xfrm>
          <a:off x="2712245" y="57150"/>
          <a:ext cx="4324350" cy="823912"/>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544199</xdr:colOff>
      <xdr:row>0</xdr:row>
      <xdr:rowOff>35719</xdr:rowOff>
    </xdr:from>
    <xdr:to>
      <xdr:col>22</xdr:col>
      <xdr:colOff>22705</xdr:colOff>
      <xdr:row>4</xdr:row>
      <xdr:rowOff>144919</xdr:rowOff>
    </xdr:to>
    <xdr:grpSp>
      <xdr:nvGrpSpPr>
        <xdr:cNvPr id="16" name="Group 15">
          <a:extLst>
            <a:ext uri="{FF2B5EF4-FFF2-40B4-BE49-F238E27FC236}">
              <a16:creationId xmlns:a16="http://schemas.microsoft.com/office/drawing/2014/main" id="{DEE7CF8B-2F16-1504-83EB-7D329EADF7DA}"/>
            </a:ext>
          </a:extLst>
        </xdr:cNvPr>
        <xdr:cNvGrpSpPr/>
      </xdr:nvGrpSpPr>
      <xdr:grpSpPr>
        <a:xfrm>
          <a:off x="10259699" y="35719"/>
          <a:ext cx="3121819" cy="871200"/>
          <a:chOff x="2133600" y="3028950"/>
          <a:chExt cx="3133725" cy="952500"/>
        </a:xfrm>
      </xdr:grpSpPr>
      <xdr:sp macro="" textlink="PVT!A215">
        <xdr:nvSpPr>
          <xdr:cNvPr id="2" name="Rectangle: Rounded Corners 1">
            <a:extLst>
              <a:ext uri="{FF2B5EF4-FFF2-40B4-BE49-F238E27FC236}">
                <a16:creationId xmlns:a16="http://schemas.microsoft.com/office/drawing/2014/main" id="{3A3DFA51-C293-1F91-81A5-CB5CA040FE46}"/>
              </a:ext>
            </a:extLst>
          </xdr:cNvPr>
          <xdr:cNvSpPr/>
        </xdr:nvSpPr>
        <xdr:spPr>
          <a:xfrm>
            <a:off x="2133600" y="3028950"/>
            <a:ext cx="3133725" cy="952500"/>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0BB80F7-0657-4400-B8D1-5C35736F9DBF}" type="TxLink">
              <a:rPr lang="en-US" sz="2800" b="1" i="0" u="none" strike="noStrike">
                <a:solidFill>
                  <a:schemeClr val="bg1"/>
                </a:solidFill>
                <a:latin typeface="Segoe UI Black" panose="020B0A02040204020203" pitchFamily="34" charset="0"/>
                <a:ea typeface="Segoe UI Black" panose="020B0A02040204020203" pitchFamily="34" charset="0"/>
              </a:rPr>
              <a:pPr algn="ctr"/>
              <a:t>$511,941,627.00</a:t>
            </a:fld>
            <a:endParaRPr lang="en-US" sz="6000" b="1">
              <a:solidFill>
                <a:schemeClr val="bg1"/>
              </a:solidFill>
              <a:latin typeface="Segoe UI Black" panose="020B0A02040204020203" pitchFamily="34" charset="0"/>
              <a:ea typeface="Segoe UI Black" panose="020B0A02040204020203" pitchFamily="34" charset="0"/>
            </a:endParaRPr>
          </a:p>
        </xdr:txBody>
      </xdr:sp>
      <xdr:sp macro="" textlink="">
        <xdr:nvSpPr>
          <xdr:cNvPr id="15" name="TextBox 14">
            <a:extLst>
              <a:ext uri="{FF2B5EF4-FFF2-40B4-BE49-F238E27FC236}">
                <a16:creationId xmlns:a16="http://schemas.microsoft.com/office/drawing/2014/main" id="{7DFC8830-5ABC-BE39-0660-B723F69ABC90}"/>
              </a:ext>
            </a:extLst>
          </xdr:cNvPr>
          <xdr:cNvSpPr txBox="1"/>
        </xdr:nvSpPr>
        <xdr:spPr>
          <a:xfrm>
            <a:off x="2716506" y="3076575"/>
            <a:ext cx="2121671"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100" b="0">
                <a:solidFill>
                  <a:srgbClr val="94A3B8"/>
                </a:solidFill>
                <a:latin typeface="Segoe UI Black" panose="020B0A02040204020203" pitchFamily="34" charset="0"/>
                <a:ea typeface="Segoe UI Black" panose="020B0A02040204020203" pitchFamily="34" charset="0"/>
                <a:cs typeface="Segoe UI" panose="020B0502040204020203" pitchFamily="34" charset="0"/>
              </a:rPr>
              <a:t>Total</a:t>
            </a:r>
            <a:r>
              <a:rPr lang="en-US" sz="1100" b="0" baseline="0">
                <a:solidFill>
                  <a:srgbClr val="94A3B8"/>
                </a:solidFill>
                <a:latin typeface="Segoe UI Black" panose="020B0A02040204020203" pitchFamily="34" charset="0"/>
                <a:ea typeface="Segoe UI Black" panose="020B0A02040204020203" pitchFamily="34" charset="0"/>
                <a:cs typeface="Segoe UI" panose="020B0502040204020203" pitchFamily="34" charset="0"/>
              </a:rPr>
              <a:t> Operating Revenue</a:t>
            </a:r>
            <a:endParaRPr lang="en-US" sz="1100" b="0">
              <a:solidFill>
                <a:srgbClr val="94A3B8"/>
              </a:solidFill>
              <a:latin typeface="Segoe UI Black" panose="020B0A02040204020203" pitchFamily="34" charset="0"/>
              <a:ea typeface="Segoe UI Black" panose="020B0A02040204020203" pitchFamily="34" charset="0"/>
              <a:cs typeface="Segoe UI" panose="020B0502040204020203" pitchFamily="34" charset="0"/>
            </a:endParaRPr>
          </a:p>
        </xdr:txBody>
      </xdr:sp>
    </xdr:grpSp>
    <xdr:clientData/>
  </xdr:twoCellAnchor>
  <xdr:twoCellAnchor>
    <xdr:from>
      <xdr:col>11</xdr:col>
      <xdr:colOff>489714</xdr:colOff>
      <xdr:row>0</xdr:row>
      <xdr:rowOff>11906</xdr:rowOff>
    </xdr:from>
    <xdr:to>
      <xdr:col>16</xdr:col>
      <xdr:colOff>435485</xdr:colOff>
      <xdr:row>4</xdr:row>
      <xdr:rowOff>121525</xdr:rowOff>
    </xdr:to>
    <xdr:grpSp>
      <xdr:nvGrpSpPr>
        <xdr:cNvPr id="17" name="Group 16">
          <a:extLst>
            <a:ext uri="{FF2B5EF4-FFF2-40B4-BE49-F238E27FC236}">
              <a16:creationId xmlns:a16="http://schemas.microsoft.com/office/drawing/2014/main" id="{4E78EE27-07B7-421F-9EF5-BD2AD3D6CF95}"/>
            </a:ext>
          </a:extLst>
        </xdr:cNvPr>
        <xdr:cNvGrpSpPr/>
      </xdr:nvGrpSpPr>
      <xdr:grpSpPr>
        <a:xfrm>
          <a:off x="7169120" y="11906"/>
          <a:ext cx="2981865" cy="871619"/>
          <a:chOff x="2133600" y="3009904"/>
          <a:chExt cx="3133725" cy="971546"/>
        </a:xfrm>
      </xdr:grpSpPr>
      <xdr:sp macro="" textlink="PVT!B215">
        <xdr:nvSpPr>
          <xdr:cNvPr id="18" name="Rectangle: Rounded Corners 17">
            <a:extLst>
              <a:ext uri="{FF2B5EF4-FFF2-40B4-BE49-F238E27FC236}">
                <a16:creationId xmlns:a16="http://schemas.microsoft.com/office/drawing/2014/main" id="{500EF4BB-8EB9-9AED-1639-EF2DA3723072}"/>
              </a:ext>
            </a:extLst>
          </xdr:cNvPr>
          <xdr:cNvSpPr/>
        </xdr:nvSpPr>
        <xdr:spPr>
          <a:xfrm>
            <a:off x="2133600" y="3028950"/>
            <a:ext cx="3133725" cy="952500"/>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B986908-D5BE-4B7F-BE5B-4F50F14BADA9}" type="TxLink">
              <a:rPr lang="en-US" sz="2800" b="1" i="0" u="none" strike="noStrike">
                <a:solidFill>
                  <a:schemeClr val="bg1"/>
                </a:solidFill>
                <a:latin typeface="Segoe UI Black" panose="020B0A02040204020203" pitchFamily="34" charset="0"/>
                <a:ea typeface="Segoe UI Black" panose="020B0A02040204020203" pitchFamily="34" charset="0"/>
              </a:rPr>
              <a:pPr algn="ctr"/>
              <a:t>$40,909,498.00</a:t>
            </a:fld>
            <a:endParaRPr lang="en-US" sz="13800" b="1">
              <a:solidFill>
                <a:schemeClr val="bg1"/>
              </a:solidFill>
              <a:latin typeface="Segoe UI Black" panose="020B0A02040204020203" pitchFamily="34" charset="0"/>
              <a:ea typeface="Segoe UI Black" panose="020B0A02040204020203" pitchFamily="34" charset="0"/>
            </a:endParaRPr>
          </a:p>
        </xdr:txBody>
      </xdr:sp>
      <xdr:sp macro="" textlink="">
        <xdr:nvSpPr>
          <xdr:cNvPr id="19" name="TextBox 18">
            <a:extLst>
              <a:ext uri="{FF2B5EF4-FFF2-40B4-BE49-F238E27FC236}">
                <a16:creationId xmlns:a16="http://schemas.microsoft.com/office/drawing/2014/main" id="{EAABD8BE-9787-4026-66C0-91EB4F84D97F}"/>
              </a:ext>
            </a:extLst>
          </xdr:cNvPr>
          <xdr:cNvSpPr txBox="1"/>
        </xdr:nvSpPr>
        <xdr:spPr>
          <a:xfrm>
            <a:off x="2585210" y="3009904"/>
            <a:ext cx="2169098"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0">
                <a:solidFill>
                  <a:srgbClr val="94A3B8"/>
                </a:solidFill>
                <a:latin typeface="Segoe UI Black" panose="020B0A02040204020203" pitchFamily="34" charset="0"/>
                <a:ea typeface="Segoe UI Black" panose="020B0A02040204020203" pitchFamily="34" charset="0"/>
                <a:cs typeface="Segoe UI" panose="020B0502040204020203" pitchFamily="34" charset="0"/>
              </a:rPr>
              <a:t>Total</a:t>
            </a:r>
            <a:r>
              <a:rPr lang="en-US" sz="1000" b="0" baseline="0">
                <a:solidFill>
                  <a:srgbClr val="94A3B8"/>
                </a:solidFill>
                <a:latin typeface="Segoe UI Black" panose="020B0A02040204020203" pitchFamily="34" charset="0"/>
                <a:ea typeface="Segoe UI Black" panose="020B0A02040204020203" pitchFamily="34" charset="0"/>
                <a:cs typeface="Segoe UI" panose="020B0502040204020203" pitchFamily="34" charset="0"/>
              </a:rPr>
              <a:t> Operating Income</a:t>
            </a:r>
            <a:endParaRPr lang="en-US" sz="1000" b="0">
              <a:solidFill>
                <a:srgbClr val="94A3B8"/>
              </a:solidFill>
              <a:latin typeface="Segoe UI Black" panose="020B0A02040204020203" pitchFamily="34" charset="0"/>
              <a:ea typeface="Segoe UI Black" panose="020B0A02040204020203" pitchFamily="34" charset="0"/>
              <a:cs typeface="Segoe UI" panose="020B0502040204020203" pitchFamily="34" charset="0"/>
            </a:endParaRPr>
          </a:p>
        </xdr:txBody>
      </xdr:sp>
    </xdr:grpSp>
    <xdr:clientData/>
  </xdr:twoCellAnchor>
  <xdr:twoCellAnchor>
    <xdr:from>
      <xdr:col>22</xdr:col>
      <xdr:colOff>167138</xdr:colOff>
      <xdr:row>0</xdr:row>
      <xdr:rowOff>23813</xdr:rowOff>
    </xdr:from>
    <xdr:to>
      <xdr:col>26</xdr:col>
      <xdr:colOff>166687</xdr:colOff>
      <xdr:row>4</xdr:row>
      <xdr:rowOff>133013</xdr:rowOff>
    </xdr:to>
    <xdr:grpSp>
      <xdr:nvGrpSpPr>
        <xdr:cNvPr id="20" name="Group 19">
          <a:extLst>
            <a:ext uri="{FF2B5EF4-FFF2-40B4-BE49-F238E27FC236}">
              <a16:creationId xmlns:a16="http://schemas.microsoft.com/office/drawing/2014/main" id="{231D17B2-E018-4458-9DBB-34C445512E93}"/>
            </a:ext>
          </a:extLst>
        </xdr:cNvPr>
        <xdr:cNvGrpSpPr/>
      </xdr:nvGrpSpPr>
      <xdr:grpSpPr>
        <a:xfrm>
          <a:off x="13525951" y="23813"/>
          <a:ext cx="2428424" cy="871200"/>
          <a:chOff x="2133600" y="3028950"/>
          <a:chExt cx="3133725" cy="952500"/>
        </a:xfrm>
      </xdr:grpSpPr>
      <xdr:sp macro="" textlink="PVT!C215">
        <xdr:nvSpPr>
          <xdr:cNvPr id="21" name="Rectangle: Rounded Corners 20">
            <a:extLst>
              <a:ext uri="{FF2B5EF4-FFF2-40B4-BE49-F238E27FC236}">
                <a16:creationId xmlns:a16="http://schemas.microsoft.com/office/drawing/2014/main" id="{A3D944B3-4AEC-ACBE-A68B-AD531B92C876}"/>
              </a:ext>
            </a:extLst>
          </xdr:cNvPr>
          <xdr:cNvSpPr/>
        </xdr:nvSpPr>
        <xdr:spPr>
          <a:xfrm>
            <a:off x="2133600" y="3028950"/>
            <a:ext cx="3133725" cy="952500"/>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8ED9B430-1FAB-4329-9837-CB02BE165B9F}" type="TxLink">
              <a:rPr lang="en-US" sz="2800" b="1" i="0" u="none" strike="noStrike">
                <a:solidFill>
                  <a:schemeClr val="bg1"/>
                </a:solidFill>
                <a:latin typeface="Segoe UI Black" panose="020B0A02040204020203" pitchFamily="34" charset="0"/>
                <a:ea typeface="Segoe UI Black" panose="020B0A02040204020203" pitchFamily="34" charset="0"/>
              </a:rPr>
              <a:pPr algn="ctr"/>
              <a:t>8%</a:t>
            </a:fld>
            <a:endParaRPr lang="en-US" sz="11500" b="1">
              <a:solidFill>
                <a:schemeClr val="bg1"/>
              </a:solidFill>
              <a:latin typeface="Segoe UI Black" panose="020B0A02040204020203" pitchFamily="34" charset="0"/>
              <a:ea typeface="Segoe UI Black" panose="020B0A02040204020203" pitchFamily="34" charset="0"/>
            </a:endParaRPr>
          </a:p>
        </xdr:txBody>
      </xdr:sp>
      <xdr:sp macro="" textlink="">
        <xdr:nvSpPr>
          <xdr:cNvPr id="22" name="TextBox 21">
            <a:extLst>
              <a:ext uri="{FF2B5EF4-FFF2-40B4-BE49-F238E27FC236}">
                <a16:creationId xmlns:a16="http://schemas.microsoft.com/office/drawing/2014/main" id="{0D438BB7-5FBF-BBC9-44B9-9F611DC6AB0C}"/>
              </a:ext>
            </a:extLst>
          </xdr:cNvPr>
          <xdr:cNvSpPr txBox="1"/>
        </xdr:nvSpPr>
        <xdr:spPr>
          <a:xfrm>
            <a:off x="2847974" y="3076575"/>
            <a:ext cx="1733551"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a:solidFill>
                  <a:srgbClr val="94A3B8"/>
                </a:solidFill>
                <a:latin typeface="Segoe UI Black" panose="020B0A02040204020203" pitchFamily="34" charset="0"/>
                <a:ea typeface="Segoe UI Black" panose="020B0A02040204020203" pitchFamily="34" charset="0"/>
                <a:cs typeface="Segoe UI" panose="020B0502040204020203" pitchFamily="34" charset="0"/>
              </a:rPr>
              <a:t>Revenue</a:t>
            </a:r>
            <a:r>
              <a:rPr lang="en-US" sz="1100" b="0" baseline="0">
                <a:solidFill>
                  <a:srgbClr val="94A3B8"/>
                </a:solidFill>
                <a:latin typeface="Segoe UI Black" panose="020B0A02040204020203" pitchFamily="34" charset="0"/>
                <a:ea typeface="Segoe UI Black" panose="020B0A02040204020203" pitchFamily="34" charset="0"/>
                <a:cs typeface="Segoe UI" panose="020B0502040204020203" pitchFamily="34" charset="0"/>
              </a:rPr>
              <a:t> Margin</a:t>
            </a:r>
          </a:p>
        </xdr:txBody>
      </xdr:sp>
    </xdr:grpSp>
    <xdr:clientData/>
  </xdr:twoCellAnchor>
  <xdr:twoCellAnchor>
    <xdr:from>
      <xdr:col>0</xdr:col>
      <xdr:colOff>0</xdr:colOff>
      <xdr:row>62</xdr:row>
      <xdr:rowOff>123106</xdr:rowOff>
    </xdr:from>
    <xdr:to>
      <xdr:col>12</xdr:col>
      <xdr:colOff>157927</xdr:colOff>
      <xdr:row>84</xdr:row>
      <xdr:rowOff>59531</xdr:rowOff>
    </xdr:to>
    <xdr:sp macro="" textlink="">
      <xdr:nvSpPr>
        <xdr:cNvPr id="12" name="Rectangle: Rounded Corners 11">
          <a:extLst>
            <a:ext uri="{FF2B5EF4-FFF2-40B4-BE49-F238E27FC236}">
              <a16:creationId xmlns:a16="http://schemas.microsoft.com/office/drawing/2014/main" id="{05751053-27D2-4526-91BB-BBBEEC4FA613}"/>
            </a:ext>
          </a:extLst>
        </xdr:cNvPr>
        <xdr:cNvSpPr/>
      </xdr:nvSpPr>
      <xdr:spPr>
        <a:xfrm>
          <a:off x="0" y="11934106"/>
          <a:ext cx="7444552" cy="4127425"/>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Segoe UI Black" panose="020B0A02040204020203" pitchFamily="34" charset="0"/>
            <a:ea typeface="Segoe UI Black" panose="020B0A02040204020203" pitchFamily="34" charset="0"/>
          </a:endParaRPr>
        </a:p>
      </xdr:txBody>
    </xdr:sp>
    <xdr:clientData/>
  </xdr:twoCellAnchor>
  <xdr:twoCellAnchor>
    <xdr:from>
      <xdr:col>14</xdr:col>
      <xdr:colOff>428624</xdr:colOff>
      <xdr:row>27</xdr:row>
      <xdr:rowOff>71437</xdr:rowOff>
    </xdr:from>
    <xdr:to>
      <xdr:col>26</xdr:col>
      <xdr:colOff>142874</xdr:colOff>
      <xdr:row>44</xdr:row>
      <xdr:rowOff>154781</xdr:rowOff>
    </xdr:to>
    <xdr:grpSp>
      <xdr:nvGrpSpPr>
        <xdr:cNvPr id="30" name="Group 29">
          <a:extLst>
            <a:ext uri="{FF2B5EF4-FFF2-40B4-BE49-F238E27FC236}">
              <a16:creationId xmlns:a16="http://schemas.microsoft.com/office/drawing/2014/main" id="{726E6F60-F261-CD37-AB3C-79D53FF8DF31}"/>
            </a:ext>
          </a:extLst>
        </xdr:cNvPr>
        <xdr:cNvGrpSpPr/>
      </xdr:nvGrpSpPr>
      <xdr:grpSpPr>
        <a:xfrm>
          <a:off x="8929687" y="5214937"/>
          <a:ext cx="7000875" cy="3321844"/>
          <a:chOff x="1572524" y="14161698"/>
          <a:chExt cx="6388937" cy="2938373"/>
        </a:xfrm>
      </xdr:grpSpPr>
      <xdr:sp macro="" textlink="">
        <xdr:nvSpPr>
          <xdr:cNvPr id="11" name="Rectangle: Rounded Corners 10">
            <a:extLst>
              <a:ext uri="{FF2B5EF4-FFF2-40B4-BE49-F238E27FC236}">
                <a16:creationId xmlns:a16="http://schemas.microsoft.com/office/drawing/2014/main" id="{7182E371-2439-472B-9D6A-E87935179635}"/>
              </a:ext>
            </a:extLst>
          </xdr:cNvPr>
          <xdr:cNvSpPr/>
        </xdr:nvSpPr>
        <xdr:spPr>
          <a:xfrm>
            <a:off x="1572524" y="14161698"/>
            <a:ext cx="6388937" cy="2938373"/>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29" name="Chart 28">
            <a:extLst>
              <a:ext uri="{FF2B5EF4-FFF2-40B4-BE49-F238E27FC236}">
                <a16:creationId xmlns:a16="http://schemas.microsoft.com/office/drawing/2014/main" id="{267C1786-522C-4954-8B11-C81B02A102AF}"/>
              </a:ext>
            </a:extLst>
          </xdr:cNvPr>
          <xdr:cNvGraphicFramePr>
            <a:graphicFrameLocks/>
          </xdr:cNvGraphicFramePr>
        </xdr:nvGraphicFramePr>
        <xdr:xfrm>
          <a:off x="1797169" y="14242569"/>
          <a:ext cx="5991764" cy="2785613"/>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xdr:from>
      <xdr:col>16</xdr:col>
      <xdr:colOff>369094</xdr:colOff>
      <xdr:row>5</xdr:row>
      <xdr:rowOff>119062</xdr:rowOff>
    </xdr:from>
    <xdr:to>
      <xdr:col>26</xdr:col>
      <xdr:colOff>71437</xdr:colOff>
      <xdr:row>26</xdr:row>
      <xdr:rowOff>83344</xdr:rowOff>
    </xdr:to>
    <xdr:grpSp>
      <xdr:nvGrpSpPr>
        <xdr:cNvPr id="32" name="Group 31">
          <a:extLst>
            <a:ext uri="{FF2B5EF4-FFF2-40B4-BE49-F238E27FC236}">
              <a16:creationId xmlns:a16="http://schemas.microsoft.com/office/drawing/2014/main" id="{F6E7638A-CF19-ACDB-4841-105EDAD49626}"/>
            </a:ext>
          </a:extLst>
        </xdr:cNvPr>
        <xdr:cNvGrpSpPr/>
      </xdr:nvGrpSpPr>
      <xdr:grpSpPr>
        <a:xfrm>
          <a:off x="10084594" y="1071562"/>
          <a:ext cx="5774531" cy="3964782"/>
          <a:chOff x="2650825" y="18879269"/>
          <a:chExt cx="4852359" cy="3172005"/>
        </a:xfrm>
      </xdr:grpSpPr>
      <xdr:sp macro="" textlink="">
        <xdr:nvSpPr>
          <xdr:cNvPr id="10" name="Rectangle: Rounded Corners 9">
            <a:extLst>
              <a:ext uri="{FF2B5EF4-FFF2-40B4-BE49-F238E27FC236}">
                <a16:creationId xmlns:a16="http://schemas.microsoft.com/office/drawing/2014/main" id="{7DD85DA7-5CF7-4BE4-BBC3-FA37C2F143F5}"/>
              </a:ext>
            </a:extLst>
          </xdr:cNvPr>
          <xdr:cNvSpPr/>
        </xdr:nvSpPr>
        <xdr:spPr>
          <a:xfrm>
            <a:off x="2650825" y="18879269"/>
            <a:ext cx="4852359" cy="3172005"/>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31" name="Chart 30">
            <a:extLst>
              <a:ext uri="{FF2B5EF4-FFF2-40B4-BE49-F238E27FC236}">
                <a16:creationId xmlns:a16="http://schemas.microsoft.com/office/drawing/2014/main" id="{7282EC5D-6389-4A21-A192-CD2EE0DBF016}"/>
              </a:ext>
            </a:extLst>
          </xdr:cNvPr>
          <xdr:cNvGraphicFramePr>
            <a:graphicFrameLocks/>
          </xdr:cNvGraphicFramePr>
        </xdr:nvGraphicFramePr>
        <xdr:xfrm>
          <a:off x="2830543" y="19085944"/>
          <a:ext cx="4572000" cy="2743200"/>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xdr:from>
      <xdr:col>1</xdr:col>
      <xdr:colOff>35717</xdr:colOff>
      <xdr:row>1</xdr:row>
      <xdr:rowOff>47623</xdr:rowOff>
    </xdr:from>
    <xdr:to>
      <xdr:col>2</xdr:col>
      <xdr:colOff>583405</xdr:colOff>
      <xdr:row>3</xdr:row>
      <xdr:rowOff>142874</xdr:rowOff>
    </xdr:to>
    <xdr:sp macro="" textlink="">
      <xdr:nvSpPr>
        <xdr:cNvPr id="33" name="TextBox 32">
          <a:extLst>
            <a:ext uri="{FF2B5EF4-FFF2-40B4-BE49-F238E27FC236}">
              <a16:creationId xmlns:a16="http://schemas.microsoft.com/office/drawing/2014/main" id="{3962238F-B24E-9E78-548B-6EE1E4642D65}"/>
            </a:ext>
          </a:extLst>
        </xdr:cNvPr>
        <xdr:cNvSpPr txBox="1"/>
      </xdr:nvSpPr>
      <xdr:spPr>
        <a:xfrm>
          <a:off x="642936" y="238123"/>
          <a:ext cx="1154907" cy="476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a:solidFill>
                <a:schemeClr val="bg1"/>
              </a:solidFill>
              <a:latin typeface="Segoe UI Black" panose="020B0A02040204020203" pitchFamily="34" charset="0"/>
              <a:ea typeface="Segoe UI Black" panose="020B0A02040204020203" pitchFamily="34" charset="0"/>
            </a:rPr>
            <a:t>Airline</a:t>
          </a:r>
        </a:p>
      </xdr:txBody>
    </xdr:sp>
    <xdr:clientData/>
  </xdr:twoCellAnchor>
  <xdr:twoCellAnchor>
    <xdr:from>
      <xdr:col>1</xdr:col>
      <xdr:colOff>23814</xdr:colOff>
      <xdr:row>14</xdr:row>
      <xdr:rowOff>9489</xdr:rowOff>
    </xdr:from>
    <xdr:to>
      <xdr:col>2</xdr:col>
      <xdr:colOff>571502</xdr:colOff>
      <xdr:row>16</xdr:row>
      <xdr:rowOff>104740</xdr:rowOff>
    </xdr:to>
    <xdr:sp macro="" textlink="">
      <xdr:nvSpPr>
        <xdr:cNvPr id="34" name="TextBox 33">
          <a:extLst>
            <a:ext uri="{FF2B5EF4-FFF2-40B4-BE49-F238E27FC236}">
              <a16:creationId xmlns:a16="http://schemas.microsoft.com/office/drawing/2014/main" id="{DF58EB58-747D-4C35-AED5-848B7E891F11}"/>
            </a:ext>
          </a:extLst>
        </xdr:cNvPr>
        <xdr:cNvSpPr txBox="1"/>
      </xdr:nvSpPr>
      <xdr:spPr>
        <a:xfrm>
          <a:off x="631033" y="2676489"/>
          <a:ext cx="1154907" cy="476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a:solidFill>
                <a:schemeClr val="bg1"/>
              </a:solidFill>
              <a:latin typeface="Segoe UI Black" panose="020B0A02040204020203" pitchFamily="34" charset="0"/>
              <a:ea typeface="Segoe UI Black" panose="020B0A02040204020203" pitchFamily="34" charset="0"/>
            </a:rPr>
            <a:t>Year</a:t>
          </a:r>
        </a:p>
      </xdr:txBody>
    </xdr:sp>
    <xdr:clientData/>
  </xdr:twoCellAnchor>
  <xdr:twoCellAnchor>
    <xdr:from>
      <xdr:col>4</xdr:col>
      <xdr:colOff>381000</xdr:colOff>
      <xdr:row>0</xdr:row>
      <xdr:rowOff>0</xdr:rowOff>
    </xdr:from>
    <xdr:to>
      <xdr:col>12</xdr:col>
      <xdr:colOff>95250</xdr:colOff>
      <xdr:row>4</xdr:row>
      <xdr:rowOff>47625</xdr:rowOff>
    </xdr:to>
    <xdr:sp macro="" textlink="">
      <xdr:nvSpPr>
        <xdr:cNvPr id="35" name="TextBox 34">
          <a:extLst>
            <a:ext uri="{FF2B5EF4-FFF2-40B4-BE49-F238E27FC236}">
              <a16:creationId xmlns:a16="http://schemas.microsoft.com/office/drawing/2014/main" id="{4D8597D0-5F4A-486E-8653-2565A2B693AB}"/>
            </a:ext>
          </a:extLst>
        </xdr:cNvPr>
        <xdr:cNvSpPr txBox="1"/>
      </xdr:nvSpPr>
      <xdr:spPr>
        <a:xfrm>
          <a:off x="2809875" y="0"/>
          <a:ext cx="4572000" cy="809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1">
              <a:solidFill>
                <a:schemeClr val="bg1"/>
              </a:solidFill>
              <a:latin typeface="Segoe UI Black" panose="020B0A02040204020203" pitchFamily="34" charset="0"/>
              <a:ea typeface="Segoe UI Black" panose="020B0A02040204020203" pitchFamily="34" charset="0"/>
            </a:rPr>
            <a:t>SKIES</a:t>
          </a:r>
          <a:r>
            <a:rPr lang="en-US" sz="1600" b="1" baseline="0">
              <a:solidFill>
                <a:schemeClr val="bg1"/>
              </a:solidFill>
              <a:latin typeface="Segoe UI Black" panose="020B0A02040204020203" pitchFamily="34" charset="0"/>
              <a:ea typeface="Segoe UI Black" panose="020B0A02040204020203" pitchFamily="34" charset="0"/>
            </a:rPr>
            <a:t> UNDER PRESSURE PROJECT</a:t>
          </a:r>
        </a:p>
        <a:p>
          <a:pPr algn="l"/>
          <a:r>
            <a:rPr lang="en-US" sz="1100">
              <a:solidFill>
                <a:srgbClr val="94A3B8"/>
              </a:solidFill>
              <a:latin typeface="Segoe UI Black" panose="020B0A02040204020203" pitchFamily="34" charset="0"/>
              <a:ea typeface="Segoe UI Black" panose="020B0A02040204020203" pitchFamily="34" charset="0"/>
            </a:rPr>
            <a:t>Macroeconomic Shocks, CARES Act Subsidies, &amp; Market Efficiency (2009 - 2022)</a:t>
          </a:r>
        </a:p>
      </xdr:txBody>
    </xdr:sp>
    <xdr:clientData/>
  </xdr:twoCellAnchor>
  <xdr:twoCellAnchor editAs="oneCell">
    <xdr:from>
      <xdr:col>0</xdr:col>
      <xdr:colOff>202407</xdr:colOff>
      <xdr:row>30</xdr:row>
      <xdr:rowOff>130970</xdr:rowOff>
    </xdr:from>
    <xdr:to>
      <xdr:col>4</xdr:col>
      <xdr:colOff>9913</xdr:colOff>
      <xdr:row>41</xdr:row>
      <xdr:rowOff>83344</xdr:rowOff>
    </xdr:to>
    <xdr:pic>
      <xdr:nvPicPr>
        <xdr:cNvPr id="43" name="Picture 42">
          <a:extLst>
            <a:ext uri="{FF2B5EF4-FFF2-40B4-BE49-F238E27FC236}">
              <a16:creationId xmlns:a16="http://schemas.microsoft.com/office/drawing/2014/main" id="{408C8C7C-696C-0B14-704B-AF17F7653B3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02407" y="5845970"/>
          <a:ext cx="2236381" cy="2047874"/>
        </a:xfrm>
        <a:prstGeom prst="rect">
          <a:avLst/>
        </a:prstGeom>
      </xdr:spPr>
    </xdr:pic>
    <xdr:clientData/>
  </xdr:twoCellAnchor>
  <xdr:twoCellAnchor>
    <xdr:from>
      <xdr:col>4</xdr:col>
      <xdr:colOff>226219</xdr:colOff>
      <xdr:row>5</xdr:row>
      <xdr:rowOff>59531</xdr:rowOff>
    </xdr:from>
    <xdr:to>
      <xdr:col>10</xdr:col>
      <xdr:colOff>154781</xdr:colOff>
      <xdr:row>22</xdr:row>
      <xdr:rowOff>11906</xdr:rowOff>
    </xdr:to>
    <xdr:grpSp>
      <xdr:nvGrpSpPr>
        <xdr:cNvPr id="39" name="Group 38">
          <a:extLst>
            <a:ext uri="{FF2B5EF4-FFF2-40B4-BE49-F238E27FC236}">
              <a16:creationId xmlns:a16="http://schemas.microsoft.com/office/drawing/2014/main" id="{143810F6-084F-7E51-FC21-F7CBFEF8FE87}"/>
            </a:ext>
          </a:extLst>
        </xdr:cNvPr>
        <xdr:cNvGrpSpPr/>
      </xdr:nvGrpSpPr>
      <xdr:grpSpPr>
        <a:xfrm>
          <a:off x="2655094" y="1012031"/>
          <a:ext cx="3571875" cy="3190875"/>
          <a:chOff x="4988720" y="11093705"/>
          <a:chExt cx="5155406" cy="3067050"/>
        </a:xfrm>
      </xdr:grpSpPr>
      <xdr:sp macro="" textlink="">
        <xdr:nvSpPr>
          <xdr:cNvPr id="13" name="Rectangle: Rounded Corners 12">
            <a:extLst>
              <a:ext uri="{FF2B5EF4-FFF2-40B4-BE49-F238E27FC236}">
                <a16:creationId xmlns:a16="http://schemas.microsoft.com/office/drawing/2014/main" id="{2AF4233C-A5F3-4A3E-AACA-3482A589F0E0}"/>
              </a:ext>
            </a:extLst>
          </xdr:cNvPr>
          <xdr:cNvSpPr/>
        </xdr:nvSpPr>
        <xdr:spPr>
          <a:xfrm>
            <a:off x="4988720" y="11093705"/>
            <a:ext cx="5155406" cy="3067050"/>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5" name="Chart 4">
            <a:extLst>
              <a:ext uri="{FF2B5EF4-FFF2-40B4-BE49-F238E27FC236}">
                <a16:creationId xmlns:a16="http://schemas.microsoft.com/office/drawing/2014/main" id="{4E82C6E3-4128-44CC-AC83-7CB75B3C900A}"/>
              </a:ext>
            </a:extLst>
          </xdr:cNvPr>
          <xdr:cNvGraphicFramePr>
            <a:graphicFrameLocks/>
          </xdr:cNvGraphicFramePr>
        </xdr:nvGraphicFramePr>
        <xdr:xfrm>
          <a:off x="5095874" y="11251407"/>
          <a:ext cx="4921700" cy="2743200"/>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3</xdr:col>
      <xdr:colOff>0</xdr:colOff>
      <xdr:row>80</xdr:row>
      <xdr:rowOff>0</xdr:rowOff>
    </xdr:from>
    <xdr:to>
      <xdr:col>15</xdr:col>
      <xdr:colOff>57150</xdr:colOff>
      <xdr:row>96</xdr:row>
      <xdr:rowOff>19050</xdr:rowOff>
    </xdr:to>
    <xdr:sp macro="" textlink="">
      <xdr:nvSpPr>
        <xdr:cNvPr id="7" name="Rectangle: Rounded Corners 6">
          <a:extLst>
            <a:ext uri="{FF2B5EF4-FFF2-40B4-BE49-F238E27FC236}">
              <a16:creationId xmlns:a16="http://schemas.microsoft.com/office/drawing/2014/main" id="{8DBE905E-4F05-42BE-BE2E-53E34AE76584}"/>
            </a:ext>
          </a:extLst>
        </xdr:cNvPr>
        <xdr:cNvSpPr/>
      </xdr:nvSpPr>
      <xdr:spPr>
        <a:xfrm>
          <a:off x="1821656" y="15240000"/>
          <a:ext cx="7343775" cy="3067050"/>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152400</xdr:colOff>
      <xdr:row>80</xdr:row>
      <xdr:rowOff>152400</xdr:rowOff>
    </xdr:from>
    <xdr:to>
      <xdr:col>15</xdr:col>
      <xdr:colOff>209550</xdr:colOff>
      <xdr:row>96</xdr:row>
      <xdr:rowOff>171450</xdr:rowOff>
    </xdr:to>
    <xdr:sp macro="" textlink="">
      <xdr:nvSpPr>
        <xdr:cNvPr id="14" name="Rectangle: Rounded Corners 13">
          <a:extLst>
            <a:ext uri="{FF2B5EF4-FFF2-40B4-BE49-F238E27FC236}">
              <a16:creationId xmlns:a16="http://schemas.microsoft.com/office/drawing/2014/main" id="{040F9C87-A6BB-43BC-85A7-A6B2087D7FC8}"/>
            </a:ext>
          </a:extLst>
        </xdr:cNvPr>
        <xdr:cNvSpPr/>
      </xdr:nvSpPr>
      <xdr:spPr>
        <a:xfrm>
          <a:off x="1974056" y="15392400"/>
          <a:ext cx="7343775" cy="3067050"/>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304800</xdr:colOff>
      <xdr:row>81</xdr:row>
      <xdr:rowOff>114300</xdr:rowOff>
    </xdr:from>
    <xdr:to>
      <xdr:col>15</xdr:col>
      <xdr:colOff>361950</xdr:colOff>
      <xdr:row>97</xdr:row>
      <xdr:rowOff>133350</xdr:rowOff>
    </xdr:to>
    <xdr:sp macro="" textlink="">
      <xdr:nvSpPr>
        <xdr:cNvPr id="25" name="Rectangle: Rounded Corners 24">
          <a:extLst>
            <a:ext uri="{FF2B5EF4-FFF2-40B4-BE49-F238E27FC236}">
              <a16:creationId xmlns:a16="http://schemas.microsoft.com/office/drawing/2014/main" id="{5EF8E784-6354-434F-9416-723DE5E785E1}"/>
            </a:ext>
          </a:extLst>
        </xdr:cNvPr>
        <xdr:cNvSpPr/>
      </xdr:nvSpPr>
      <xdr:spPr>
        <a:xfrm>
          <a:off x="2126456" y="15544800"/>
          <a:ext cx="7343775" cy="3067050"/>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457200</xdr:colOff>
      <xdr:row>82</xdr:row>
      <xdr:rowOff>76200</xdr:rowOff>
    </xdr:from>
    <xdr:to>
      <xdr:col>15</xdr:col>
      <xdr:colOff>514350</xdr:colOff>
      <xdr:row>98</xdr:row>
      <xdr:rowOff>95250</xdr:rowOff>
    </xdr:to>
    <xdr:sp macro="" textlink="">
      <xdr:nvSpPr>
        <xdr:cNvPr id="26" name="Rectangle: Rounded Corners 25">
          <a:extLst>
            <a:ext uri="{FF2B5EF4-FFF2-40B4-BE49-F238E27FC236}">
              <a16:creationId xmlns:a16="http://schemas.microsoft.com/office/drawing/2014/main" id="{9E772767-C593-430F-AB86-9A60325088EB}"/>
            </a:ext>
          </a:extLst>
        </xdr:cNvPr>
        <xdr:cNvSpPr/>
      </xdr:nvSpPr>
      <xdr:spPr>
        <a:xfrm>
          <a:off x="2278856" y="15697200"/>
          <a:ext cx="7343775" cy="3067050"/>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261937</xdr:colOff>
      <xdr:row>22</xdr:row>
      <xdr:rowOff>107156</xdr:rowOff>
    </xdr:from>
    <xdr:to>
      <xdr:col>14</xdr:col>
      <xdr:colOff>321469</xdr:colOff>
      <xdr:row>44</xdr:row>
      <xdr:rowOff>119062</xdr:rowOff>
    </xdr:to>
    <xdr:grpSp>
      <xdr:nvGrpSpPr>
        <xdr:cNvPr id="41" name="Group 40">
          <a:extLst>
            <a:ext uri="{FF2B5EF4-FFF2-40B4-BE49-F238E27FC236}">
              <a16:creationId xmlns:a16="http://schemas.microsoft.com/office/drawing/2014/main" id="{D39136EA-FA66-9E56-9C5E-A1DAC15BCB53}"/>
            </a:ext>
          </a:extLst>
        </xdr:cNvPr>
        <xdr:cNvGrpSpPr/>
      </xdr:nvGrpSpPr>
      <xdr:grpSpPr>
        <a:xfrm>
          <a:off x="2690812" y="4298156"/>
          <a:ext cx="6131720" cy="4202906"/>
          <a:chOff x="2738437" y="11001374"/>
          <a:chExt cx="6131720" cy="3393281"/>
        </a:xfrm>
      </xdr:grpSpPr>
      <xdr:sp macro="" textlink="">
        <xdr:nvSpPr>
          <xdr:cNvPr id="37" name="Rectangle: Rounded Corners 36">
            <a:extLst>
              <a:ext uri="{FF2B5EF4-FFF2-40B4-BE49-F238E27FC236}">
                <a16:creationId xmlns:a16="http://schemas.microsoft.com/office/drawing/2014/main" id="{FCE3CABD-6794-47BC-AC27-D05F3F43B17A}"/>
              </a:ext>
            </a:extLst>
          </xdr:cNvPr>
          <xdr:cNvSpPr/>
        </xdr:nvSpPr>
        <xdr:spPr>
          <a:xfrm>
            <a:off x="2738437" y="11001374"/>
            <a:ext cx="6131720" cy="3393281"/>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40" name="Chart 39">
            <a:extLst>
              <a:ext uri="{FF2B5EF4-FFF2-40B4-BE49-F238E27FC236}">
                <a16:creationId xmlns:a16="http://schemas.microsoft.com/office/drawing/2014/main" id="{34B08DA9-D494-462A-B6E1-F6CEB2BECF97}"/>
              </a:ext>
            </a:extLst>
          </xdr:cNvPr>
          <xdr:cNvGraphicFramePr>
            <a:graphicFrameLocks/>
          </xdr:cNvGraphicFramePr>
        </xdr:nvGraphicFramePr>
        <xdr:xfrm>
          <a:off x="2893219" y="11096626"/>
          <a:ext cx="5691186" cy="3155156"/>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10</xdr:col>
      <xdr:colOff>261937</xdr:colOff>
      <xdr:row>5</xdr:row>
      <xdr:rowOff>107156</xdr:rowOff>
    </xdr:from>
    <xdr:to>
      <xdr:col>16</xdr:col>
      <xdr:colOff>238125</xdr:colOff>
      <xdr:row>22</xdr:row>
      <xdr:rowOff>23812</xdr:rowOff>
    </xdr:to>
    <xdr:grpSp>
      <xdr:nvGrpSpPr>
        <xdr:cNvPr id="44" name="Group 43">
          <a:extLst>
            <a:ext uri="{FF2B5EF4-FFF2-40B4-BE49-F238E27FC236}">
              <a16:creationId xmlns:a16="http://schemas.microsoft.com/office/drawing/2014/main" id="{78CC23E4-F6AD-02B1-51FB-0698551C72E0}"/>
            </a:ext>
          </a:extLst>
        </xdr:cNvPr>
        <xdr:cNvGrpSpPr/>
      </xdr:nvGrpSpPr>
      <xdr:grpSpPr>
        <a:xfrm>
          <a:off x="6334125" y="1059656"/>
          <a:ext cx="3619500" cy="3155156"/>
          <a:chOff x="1238250" y="19754849"/>
          <a:chExt cx="5000626" cy="3067050"/>
        </a:xfrm>
      </xdr:grpSpPr>
      <xdr:sp macro="" textlink="">
        <xdr:nvSpPr>
          <xdr:cNvPr id="36" name="Rectangle: Rounded Corners 35">
            <a:extLst>
              <a:ext uri="{FF2B5EF4-FFF2-40B4-BE49-F238E27FC236}">
                <a16:creationId xmlns:a16="http://schemas.microsoft.com/office/drawing/2014/main" id="{7D6C72F1-9340-4A43-9EF6-FEBD848EE0D5}"/>
              </a:ext>
            </a:extLst>
          </xdr:cNvPr>
          <xdr:cNvSpPr/>
        </xdr:nvSpPr>
        <xdr:spPr>
          <a:xfrm>
            <a:off x="1238250" y="19754849"/>
            <a:ext cx="5000626" cy="3067050"/>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42" name="Chart 41">
            <a:extLst>
              <a:ext uri="{FF2B5EF4-FFF2-40B4-BE49-F238E27FC236}">
                <a16:creationId xmlns:a16="http://schemas.microsoft.com/office/drawing/2014/main" id="{958095FE-C0B9-437B-A029-BA00E7BF4074}"/>
              </a:ext>
            </a:extLst>
          </xdr:cNvPr>
          <xdr:cNvGraphicFramePr>
            <a:graphicFrameLocks/>
          </xdr:cNvGraphicFramePr>
        </xdr:nvGraphicFramePr>
        <xdr:xfrm>
          <a:off x="1440657" y="19966781"/>
          <a:ext cx="4572000" cy="2743200"/>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twoCellAnchor editAs="oneCell">
    <xdr:from>
      <xdr:col>14</xdr:col>
      <xdr:colOff>464343</xdr:colOff>
      <xdr:row>22</xdr:row>
      <xdr:rowOff>107156</xdr:rowOff>
    </xdr:from>
    <xdr:to>
      <xdr:col>16</xdr:col>
      <xdr:colOff>154781</xdr:colOff>
      <xdr:row>26</xdr:row>
      <xdr:rowOff>173758</xdr:rowOff>
    </xdr:to>
    <xdr:pic>
      <xdr:nvPicPr>
        <xdr:cNvPr id="45" name="Picture 44">
          <a:extLst>
            <a:ext uri="{FF2B5EF4-FFF2-40B4-BE49-F238E27FC236}">
              <a16:creationId xmlns:a16="http://schemas.microsoft.com/office/drawing/2014/main" id="{D944C220-3D3E-4F2A-B5CA-9B091D2CBE2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965406" y="4298156"/>
          <a:ext cx="904875" cy="828602"/>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635189583336" backgroundQuery="1" createdVersion="8" refreshedVersion="8" minRefreshableVersion="3" recordCount="0" supportSubquery="1" supportAdvancedDrill="1" xr:uid="{3FC5ED48-D000-4685-A0A2-DD213DDDE542}">
  <cacheSource type="external" connectionId="26"/>
  <cacheFields count="3">
    <cacheField name="[Fact_Financials_Master 1].[Airline_Name].[Airline_Name]" caption="Airline_Name" numFmtId="0" hierarchy="6" level="1">
      <sharedItems count="10">
        <s v="Alaska Airlines"/>
        <s v="Allegiant Airlines"/>
        <s v="American Airlines"/>
        <s v="Delta Airlines"/>
        <s v="Frontier Airlines"/>
        <s v="Hawaiian Airlines"/>
        <s v="JetBlue Airlines"/>
        <s v="Southwest Airlines"/>
        <s v="Spirit Airlines"/>
        <s v="United Airlines"/>
      </sharedItems>
    </cacheField>
    <cacheField name="[Measures].[Bailout Cushion]" caption="Bailout Cushion" numFmtId="0" hierarchy="26" level="32767"/>
    <cacheField name="[Fact_Financials_Master 1].[CARES_FLAG].[CARES_FLAG]" caption="CARES_FLAG" numFmtId="0" hierarchy="12" level="1">
      <sharedItems containsSemiMixedTypes="0" containsNonDate="0" containsString="0"/>
    </cacheField>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0" memberValueDatatype="130" unbalanced="0"/>
    <cacheHierarchy uniqueName="[Dim_Time 1].[Year]" caption="Year" attribute="1" defaultMemberUniqueName="[Dim_Time 1].[Year].[All]" allUniqueName="[Dim_Time 1].[Year].[All]" dimensionUniqueName="[Dim_Time 1]" displayFolder="" count="0"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0"/>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fieldsUsage count="2">
        <fieldUsage x="-1"/>
        <fieldUsage x="2"/>
      </fieldsUsage>
    </cacheHierarchy>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oneField="1">
      <fieldsUsage count="1">
        <fieldUsage x="1"/>
      </fieldsUsage>
    </cacheHierarchy>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665997916665" backgroundQuery="1" createdVersion="8" refreshedVersion="8" minRefreshableVersion="3" recordCount="0" supportSubquery="1" supportAdvancedDrill="1" xr:uid="{B87DD6E6-DFF7-484A-BC13-0F978D2C4594}">
  <cacheSource type="external" connectionId="26"/>
  <cacheFields count="3">
    <cacheField name="[Dim_Time 1].[Year].[Year]" caption="Year" numFmtId="0" hierarchy="4" level="1">
      <sharedItems count="5">
        <s v="2018"/>
        <s v="2019"/>
        <s v="2020"/>
        <s v="2021"/>
        <s v="2022"/>
      </sharedItems>
    </cacheField>
    <cacheField name="[Measures].[Sum of operating_revenue]" caption="Sum of operating_revenue" numFmtId="0" hierarchy="21" level="32767"/>
    <cacheField name="[Measures].[Sum of net_income]" caption="Sum of net_income" numFmtId="0" hierarchy="22" level="32767"/>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0" memberValueDatatype="130" unbalanced="0"/>
    <cacheHierarchy uniqueName="[Dim_Time 1].[Year]" caption="Year" attribute="1" defaultMemberUniqueName="[Dim_Time 1].[Year].[All]" allUniqueName="[Dim_Time 1].[Year].[All]" dimensionUniqueName="[Dim_Time 1]" displayFolder="" count="2" memberValueDatatype="130" unbalanced="0">
      <fieldsUsage count="2">
        <fieldUsage x="-1"/>
        <fieldUsage x="0"/>
      </fieldsUsage>
    </cacheHierarchy>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0" memberValueDatatype="130" unbalanced="0"/>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0"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oneField="1">
      <fieldsUsage count="1">
        <fieldUsage x="1"/>
      </fieldsUsage>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oneField="1">
      <fieldsUsage count="1">
        <fieldUsage x="2"/>
      </fieldsUsage>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671316087966" backgroundQuery="1" createdVersion="8" refreshedVersion="8" minRefreshableVersion="3" recordCount="0" supportSubquery="1" supportAdvancedDrill="1" xr:uid="{58AA4FCC-A318-4F9D-8665-11C670F85F17}">
  <cacheSource type="external" connectionId="26"/>
  <cacheFields count="4">
    <cacheField name="[Fact_Financials_Master 1].[Airline_Name].[Airline_Name]" caption="Airline_Name" numFmtId="0" hierarchy="6" level="1">
      <sharedItems count="1">
        <s v="Delta Airlines"/>
      </sharedItems>
    </cacheField>
    <cacheField name="[Dim_Time 1].[Year].[Year]" caption="Year" numFmtId="0" hierarchy="4" level="1">
      <sharedItems count="14">
        <s v="2009"/>
        <s v="2010"/>
        <s v="2011"/>
        <s v="2012"/>
        <s v="2013"/>
        <s v="2014"/>
        <s v="2015"/>
        <s v="2016"/>
        <s v="2017"/>
        <s v="2018"/>
        <s v="2019"/>
        <s v="2020"/>
        <s v="2021"/>
        <s v="2022"/>
      </sharedItems>
    </cacheField>
    <cacheField name="[Measures].[Sum of operating_income]" caption="Sum of operating_income" numFmtId="0" hierarchy="20" level="32767"/>
    <cacheField name="[Measures].[Sum of operating_revenue]" caption="Sum of operating_revenue" numFmtId="0" hierarchy="21" level="32767"/>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0" memberValueDatatype="130" unbalanced="0"/>
    <cacheHierarchy uniqueName="[Dim_Time 1].[Year]" caption="Year" attribute="1" defaultMemberUniqueName="[Dim_Time 1].[Year].[All]" allUniqueName="[Dim_Time 1].[Year].[All]" dimensionUniqueName="[Dim_Time 1]" displayFolder="" count="2" memberValueDatatype="130" unbalanced="0">
      <fieldsUsage count="2">
        <fieldUsage x="-1"/>
        <fieldUsage x="1"/>
      </fieldsUsage>
    </cacheHierarchy>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0"/>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oneField="1">
      <fieldsUsage count="1">
        <fieldUsage x="2"/>
      </fieldsUsage>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oneField="1">
      <fieldsUsage count="1">
        <fieldUsage x="3"/>
      </fieldsUsage>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671316666667" backgroundQuery="1" createdVersion="8" refreshedVersion="8" minRefreshableVersion="3" recordCount="0" supportSubquery="1" supportAdvancedDrill="1" xr:uid="{6C60DE58-06EC-4455-B4F7-4806E2277572}">
  <cacheSource type="external" connectionId="26"/>
  <cacheFields count="3">
    <cacheField name="[Fact_Financials_Master 1].[Airline_Name].[Airline_Name]" caption="Airline_Name" numFmtId="0" hierarchy="6" level="1">
      <sharedItems count="1">
        <s v="Delta Airlines"/>
      </sharedItems>
    </cacheField>
    <cacheField name="[Measures].[Sum of operating_income]" caption="Sum of operating_income" numFmtId="0" hierarchy="20" level="32767"/>
    <cacheField name="[Dim_Time 1].[Year_Quarter].[Year_Quarter]" caption="Year_Quarter" numFmtId="0" hierarchy="3" level="1">
      <sharedItems count="56">
        <s v="2009-Q1"/>
        <s v="2009-Q2"/>
        <s v="2009-Q3"/>
        <s v="2009-Q4"/>
        <s v="2010-Q1"/>
        <s v="2010-Q2"/>
        <s v="2010-Q3"/>
        <s v="2010-Q4"/>
        <s v="2011-Q1"/>
        <s v="2011-Q2"/>
        <s v="2011-Q3"/>
        <s v="2011-Q4"/>
        <s v="2012-Q1"/>
        <s v="2012-Q2"/>
        <s v="2012-Q3"/>
        <s v="2012-Q4"/>
        <s v="2013-Q1"/>
        <s v="2013-Q2"/>
        <s v="2013-Q3"/>
        <s v="2013-Q4"/>
        <s v="2014-Q1"/>
        <s v="2014-Q2"/>
        <s v="2014-Q3"/>
        <s v="2014-Q4"/>
        <s v="2015-Q1"/>
        <s v="2015-Q2"/>
        <s v="2015-Q3"/>
        <s v="2015-Q4"/>
        <s v="2016-Q1"/>
        <s v="2016-Q2"/>
        <s v="2016-Q3"/>
        <s v="2016-Q4"/>
        <s v="2017-Q1"/>
        <s v="2017-Q2"/>
        <s v="2017-Q3"/>
        <s v="2017-Q4"/>
        <s v="2018-Q1"/>
        <s v="2018-Q2"/>
        <s v="2018-Q3"/>
        <s v="2018-Q4"/>
        <s v="2019-Q1"/>
        <s v="2019-Q2"/>
        <s v="2019-Q3"/>
        <s v="2019-Q4"/>
        <s v="2020-Q1"/>
        <s v="2020-Q2"/>
        <s v="2020-Q3"/>
        <s v="2020-Q4"/>
        <s v="2021-Q1"/>
        <s v="2021-Q2"/>
        <s v="2021-Q3"/>
        <s v="2021-Q4"/>
        <s v="2022-Q1"/>
        <s v="2022-Q2"/>
        <s v="2022-Q3"/>
        <s v="2022-Q4"/>
      </sharedItems>
    </cacheField>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2" memberValueDatatype="130" unbalanced="0">
      <fieldsUsage count="2">
        <fieldUsage x="-1"/>
        <fieldUsage x="2"/>
      </fieldsUsage>
    </cacheHierarchy>
    <cacheHierarchy uniqueName="[Dim_Time 1].[Year]" caption="Year" attribute="1" defaultMemberUniqueName="[Dim_Time 1].[Year].[All]" allUniqueName="[Dim_Time 1].[Year].[All]" dimensionUniqueName="[Dim_Time 1]" displayFolder="" count="2"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0"/>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oneField="1">
      <fieldsUsage count="1">
        <fieldUsage x="1"/>
      </fieldsUsage>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671317245367" backgroundQuery="1" createdVersion="8" refreshedVersion="8" minRefreshableVersion="3" recordCount="0" supportSubquery="1" supportAdvancedDrill="1" xr:uid="{FE3E0107-7F18-48A1-909B-695E3A42B688}">
  <cacheSource type="external" connectionId="26"/>
  <cacheFields count="4">
    <cacheField name="[Dim_Time 1].[Year_Quarter].[Year_Quarter]" caption="Year_Quarter" numFmtId="0" hierarchy="3" level="1">
      <sharedItems count="56">
        <s v="2009-Q1"/>
        <s v="2009-Q2"/>
        <s v="2009-Q3"/>
        <s v="2009-Q4"/>
        <s v="2010-Q1"/>
        <s v="2010-Q2"/>
        <s v="2010-Q3"/>
        <s v="2010-Q4"/>
        <s v="2011-Q1"/>
        <s v="2011-Q2"/>
        <s v="2011-Q3"/>
        <s v="2011-Q4"/>
        <s v="2012-Q1"/>
        <s v="2012-Q2"/>
        <s v="2012-Q3"/>
        <s v="2012-Q4"/>
        <s v="2013-Q1"/>
        <s v="2013-Q2"/>
        <s v="2013-Q3"/>
        <s v="2013-Q4"/>
        <s v="2014-Q1"/>
        <s v="2014-Q2"/>
        <s v="2014-Q3"/>
        <s v="2014-Q4"/>
        <s v="2015-Q1"/>
        <s v="2015-Q2"/>
        <s v="2015-Q3"/>
        <s v="2015-Q4"/>
        <s v="2016-Q1"/>
        <s v="2016-Q2"/>
        <s v="2016-Q3"/>
        <s v="2016-Q4"/>
        <s v="2017-Q1"/>
        <s v="2017-Q2"/>
        <s v="2017-Q3"/>
        <s v="2017-Q4"/>
        <s v="2018-Q1"/>
        <s v="2018-Q2"/>
        <s v="2018-Q3"/>
        <s v="2018-Q4"/>
        <s v="2019-Q1"/>
        <s v="2019-Q2"/>
        <s v="2019-Q3"/>
        <s v="2019-Q4"/>
        <s v="2020-Q1"/>
        <s v="2020-Q2"/>
        <s v="2020-Q3"/>
        <s v="2020-Q4"/>
        <s v="2021-Q1"/>
        <s v="2021-Q2"/>
        <s v="2021-Q3"/>
        <s v="2021-Q4"/>
        <s v="2022-Q1"/>
        <s v="2022-Q2"/>
        <s v="2022-Q3"/>
        <s v="2022-Q4"/>
      </sharedItems>
    </cacheField>
    <cacheField name="[Fact_Financials_Master 1].[Airline_Name].[Airline_Name]" caption="Airline_Name" numFmtId="0" hierarchy="6" level="1">
      <sharedItems count="1">
        <s v="Delta Airlines"/>
      </sharedItems>
    </cacheField>
    <cacheField name="[Measures].[Sum of load_factor]" caption="Sum of load_factor" numFmtId="0" hierarchy="24" level="32767"/>
    <cacheField name="[Measures].[Sum of operating_income]" caption="Sum of operating_income" numFmtId="0" hierarchy="20" level="32767"/>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2" memberValueDatatype="130" unbalanced="0">
      <fieldsUsage count="2">
        <fieldUsage x="-1"/>
        <fieldUsage x="0"/>
      </fieldsUsage>
    </cacheHierarchy>
    <cacheHierarchy uniqueName="[Dim_Time 1].[Year]" caption="Year" attribute="1" defaultMemberUniqueName="[Dim_Time 1].[Year].[All]" allUniqueName="[Dim_Time 1].[Year].[All]" dimensionUniqueName="[Dim_Time 1]" displayFolder="" count="2"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1"/>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oneField="1">
      <fieldsUsage count="1">
        <fieldUsage x="3"/>
      </fieldsUsage>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oneField="1">
      <fieldsUsage count="1">
        <fieldUsage x="2"/>
      </fieldsUsage>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671317592591" backgroundQuery="1" createdVersion="8" refreshedVersion="8" minRefreshableVersion="3" recordCount="0" supportSubquery="1" supportAdvancedDrill="1" xr:uid="{038609AF-58BD-43BD-9E32-490C5FB2124A}">
  <cacheSource type="external" connectionId="26"/>
  <cacheFields count="4">
    <cacheField name="[Dim_Time 1].[Year_Quarter].[Year_Quarter]" caption="Year_Quarter" numFmtId="0" hierarchy="3" level="1">
      <sharedItems count="56">
        <s v="2009-Q1"/>
        <s v="2009-Q2"/>
        <s v="2009-Q3"/>
        <s v="2009-Q4"/>
        <s v="2010-Q1"/>
        <s v="2010-Q2"/>
        <s v="2010-Q3"/>
        <s v="2010-Q4"/>
        <s v="2011-Q1"/>
        <s v="2011-Q2"/>
        <s v="2011-Q3"/>
        <s v="2011-Q4"/>
        <s v="2012-Q1"/>
        <s v="2012-Q2"/>
        <s v="2012-Q3"/>
        <s v="2012-Q4"/>
        <s v="2013-Q1"/>
        <s v="2013-Q2"/>
        <s v="2013-Q3"/>
        <s v="2013-Q4"/>
        <s v="2014-Q1"/>
        <s v="2014-Q2"/>
        <s v="2014-Q3"/>
        <s v="2014-Q4"/>
        <s v="2015-Q1"/>
        <s v="2015-Q2"/>
        <s v="2015-Q3"/>
        <s v="2015-Q4"/>
        <s v="2016-Q1"/>
        <s v="2016-Q2"/>
        <s v="2016-Q3"/>
        <s v="2016-Q4"/>
        <s v="2017-Q1"/>
        <s v="2017-Q2"/>
        <s v="2017-Q3"/>
        <s v="2017-Q4"/>
        <s v="2018-Q1"/>
        <s v="2018-Q2"/>
        <s v="2018-Q3"/>
        <s v="2018-Q4"/>
        <s v="2019-Q1"/>
        <s v="2019-Q2"/>
        <s v="2019-Q3"/>
        <s v="2019-Q4"/>
        <s v="2020-Q1"/>
        <s v="2020-Q2"/>
        <s v="2020-Q3"/>
        <s v="2020-Q4"/>
        <s v="2021-Q1"/>
        <s v="2021-Q2"/>
        <s v="2021-Q3"/>
        <s v="2021-Q4"/>
        <s v="2022-Q1"/>
        <s v="2022-Q2"/>
        <s v="2022-Q3"/>
        <s v="2022-Q4"/>
      </sharedItems>
    </cacheField>
    <cacheField name="[Measures].[Sum of Oil_Price_Qtr_Avg]" caption="Sum of Oil_Price_Qtr_Avg" numFmtId="0" hierarchy="18" level="32767"/>
    <cacheField name="[Measures].[Sum of operating_income]" caption="Sum of operating_income" numFmtId="0" hierarchy="20" level="32767"/>
    <cacheField name="[Fact_Financials_Master 1].[Airline_Name].[Airline_Name]" caption="Airline_Name" numFmtId="0" hierarchy="6" level="1">
      <sharedItems containsSemiMixedTypes="0" containsNonDate="0" containsString="0"/>
    </cacheField>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2" memberValueDatatype="130" unbalanced="0">
      <fieldsUsage count="2">
        <fieldUsage x="-1"/>
        <fieldUsage x="0"/>
      </fieldsUsage>
    </cacheHierarchy>
    <cacheHierarchy uniqueName="[Dim_Time 1].[Year]" caption="Year" attribute="1" defaultMemberUniqueName="[Dim_Time 1].[Year].[All]" allUniqueName="[Dim_Time 1].[Year].[All]" dimensionUniqueName="[Dim_Time 1]" displayFolder="" count="2"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3"/>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oneField="1">
      <fieldsUsage count="1">
        <fieldUsage x="1"/>
      </fieldsUsage>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oneField="1">
      <fieldsUsage count="1">
        <fieldUsage x="2"/>
      </fieldsUsage>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671317708337" backgroundQuery="1" createdVersion="8" refreshedVersion="8" minRefreshableVersion="3" recordCount="0" supportSubquery="1" supportAdvancedDrill="1" xr:uid="{3CF85EFF-102F-47E2-9519-EE2795ACFDDE}">
  <cacheSource type="external" connectionId="26"/>
  <cacheFields count="2">
    <cacheField name="[Measures].[Sum of operating_revenue]" caption="Sum of operating_revenue" numFmtId="0" hierarchy="21" level="32767"/>
    <cacheField name="[Fact_Financials_Master 1].[Airline_Name].[Airline_Name]" caption="Airline_Name" numFmtId="0" hierarchy="6" level="1">
      <sharedItems containsSemiMixedTypes="0" containsNonDate="0" containsString="0"/>
    </cacheField>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0" memberValueDatatype="130" unbalanced="0"/>
    <cacheHierarchy uniqueName="[Dim_Time 1].[Year]" caption="Year" attribute="1" defaultMemberUniqueName="[Dim_Time 1].[Year].[All]" allUniqueName="[Dim_Time 1].[Year].[All]" dimensionUniqueName="[Dim_Time 1]" displayFolder="" count="2"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1"/>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oneField="1">
      <fieldsUsage count="1">
        <fieldUsage x="0"/>
      </fieldsUsage>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671317939814" backgroundQuery="1" createdVersion="8" refreshedVersion="8" minRefreshableVersion="3" recordCount="0" supportSubquery="1" supportAdvancedDrill="1" xr:uid="{4EEF9535-C5C1-4478-8404-8891B88CEE86}">
  <cacheSource type="external" connectionId="26"/>
  <cacheFields count="2">
    <cacheField name="[Measures].[Sum of operating_income]" caption="Sum of operating_income" numFmtId="0" hierarchy="20" level="32767"/>
    <cacheField name="[Fact_Financials_Master 1].[Airline_Name].[Airline_Name]" caption="Airline_Name" numFmtId="0" hierarchy="6" level="1">
      <sharedItems containsSemiMixedTypes="0" containsNonDate="0" containsString="0"/>
    </cacheField>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0" memberValueDatatype="130" unbalanced="0"/>
    <cacheHierarchy uniqueName="[Dim_Time 1].[Year]" caption="Year" attribute="1" defaultMemberUniqueName="[Dim_Time 1].[Year].[All]" allUniqueName="[Dim_Time 1].[Year].[All]" dimensionUniqueName="[Dim_Time 1]" displayFolder="" count="2"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1"/>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oneField="1">
      <fieldsUsage count="1">
        <fieldUsage x="0"/>
      </fieldsUsage>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671318518522" backgroundQuery="1" createdVersion="8" refreshedVersion="8" minRefreshableVersion="3" recordCount="0" supportSubquery="1" supportAdvancedDrill="1" xr:uid="{AA66E47A-EFC7-4C12-AF98-65FB2B5630C9}">
  <cacheSource type="external" connectionId="26"/>
  <cacheFields count="4">
    <cacheField name="[Dim_Time 1].[Year_Quarter].[Year_Quarter]" caption="Year_Quarter" numFmtId="0" hierarchy="3" level="1">
      <sharedItems count="56">
        <s v="2009-Q1"/>
        <s v="2009-Q2"/>
        <s v="2009-Q3"/>
        <s v="2009-Q4"/>
        <s v="2010-Q1"/>
        <s v="2010-Q2"/>
        <s v="2010-Q3"/>
        <s v="2010-Q4"/>
        <s v="2011-Q1"/>
        <s v="2011-Q2"/>
        <s v="2011-Q3"/>
        <s v="2011-Q4"/>
        <s v="2012-Q1"/>
        <s v="2012-Q2"/>
        <s v="2012-Q3"/>
        <s v="2012-Q4"/>
        <s v="2013-Q1"/>
        <s v="2013-Q2"/>
        <s v="2013-Q3"/>
        <s v="2013-Q4"/>
        <s v="2014-Q1"/>
        <s v="2014-Q2"/>
        <s v="2014-Q3"/>
        <s v="2014-Q4"/>
        <s v="2015-Q1"/>
        <s v="2015-Q2"/>
        <s v="2015-Q3"/>
        <s v="2015-Q4"/>
        <s v="2016-Q1"/>
        <s v="2016-Q2"/>
        <s v="2016-Q3"/>
        <s v="2016-Q4"/>
        <s v="2017-Q1"/>
        <s v="2017-Q2"/>
        <s v="2017-Q3"/>
        <s v="2017-Q4"/>
        <s v="2018-Q1"/>
        <s v="2018-Q2"/>
        <s v="2018-Q3"/>
        <s v="2018-Q4"/>
        <s v="2019-Q1"/>
        <s v="2019-Q2"/>
        <s v="2019-Q3"/>
        <s v="2019-Q4"/>
        <s v="2020-Q1"/>
        <s v="2020-Q2"/>
        <s v="2020-Q3"/>
        <s v="2020-Q4"/>
        <s v="2021-Q1"/>
        <s v="2021-Q2"/>
        <s v="2021-Q3"/>
        <s v="2021-Q4"/>
        <s v="2022-Q1"/>
        <s v="2022-Q2"/>
        <s v="2022-Q3"/>
        <s v="2022-Q4"/>
      </sharedItems>
    </cacheField>
    <cacheField name="[Measures].[Sum of operating_income]" caption="Sum of operating_income" numFmtId="0" hierarchy="20" level="32767"/>
    <cacheField name="[Measures].[Sum of net_income]" caption="Sum of net_income" numFmtId="0" hierarchy="22" level="32767"/>
    <cacheField name="[Fact_Financials_Master 1].[Airline_Name].[Airline_Name]" caption="Airline_Name" numFmtId="0" hierarchy="6" level="1">
      <sharedItems containsSemiMixedTypes="0" containsNonDate="0" containsString="0"/>
    </cacheField>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2" memberValueDatatype="130" unbalanced="0">
      <fieldsUsage count="2">
        <fieldUsage x="-1"/>
        <fieldUsage x="0"/>
      </fieldsUsage>
    </cacheHierarchy>
    <cacheHierarchy uniqueName="[Dim_Time 1].[Year]" caption="Year" attribute="1" defaultMemberUniqueName="[Dim_Time 1].[Year].[All]" allUniqueName="[Dim_Time 1].[Year].[All]" dimensionUniqueName="[Dim_Time 1]" displayFolder="" count="2"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3"/>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oneField="1">
      <fieldsUsage count="1">
        <fieldUsage x="1"/>
      </fieldsUsage>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oneField="1">
      <fieldsUsage count="1">
        <fieldUsage x="2"/>
      </fieldsUsage>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671319097222" backgroundQuery="1" createdVersion="8" refreshedVersion="8" minRefreshableVersion="3" recordCount="0" supportSubquery="1" supportAdvancedDrill="1" xr:uid="{9949DEC4-1BB0-40F2-BC9B-8A4AB3763797}">
  <cacheSource type="external" connectionId="26"/>
  <cacheFields count="4">
    <cacheField name="[Dim_Time 1].[Year_Quarter].[Year_Quarter]" caption="Year_Quarter" numFmtId="0" hierarchy="3" level="1">
      <sharedItems count="56">
        <s v="2009-Q1"/>
        <s v="2009-Q2"/>
        <s v="2009-Q3"/>
        <s v="2009-Q4"/>
        <s v="2010-Q1"/>
        <s v="2010-Q2"/>
        <s v="2010-Q3"/>
        <s v="2010-Q4"/>
        <s v="2011-Q1"/>
        <s v="2011-Q2"/>
        <s v="2011-Q3"/>
        <s v="2011-Q4"/>
        <s v="2012-Q1"/>
        <s v="2012-Q2"/>
        <s v="2012-Q3"/>
        <s v="2012-Q4"/>
        <s v="2013-Q1"/>
        <s v="2013-Q2"/>
        <s v="2013-Q3"/>
        <s v="2013-Q4"/>
        <s v="2014-Q1"/>
        <s v="2014-Q2"/>
        <s v="2014-Q3"/>
        <s v="2014-Q4"/>
        <s v="2015-Q1"/>
        <s v="2015-Q2"/>
        <s v="2015-Q3"/>
        <s v="2015-Q4"/>
        <s v="2016-Q1"/>
        <s v="2016-Q2"/>
        <s v="2016-Q3"/>
        <s v="2016-Q4"/>
        <s v="2017-Q1"/>
        <s v="2017-Q2"/>
        <s v="2017-Q3"/>
        <s v="2017-Q4"/>
        <s v="2018-Q1"/>
        <s v="2018-Q2"/>
        <s v="2018-Q3"/>
        <s v="2018-Q4"/>
        <s v="2019-Q1"/>
        <s v="2019-Q2"/>
        <s v="2019-Q3"/>
        <s v="2019-Q4"/>
        <s v="2020-Q1"/>
        <s v="2020-Q2"/>
        <s v="2020-Q3"/>
        <s v="2020-Q4"/>
        <s v="2021-Q1"/>
        <s v="2021-Q2"/>
        <s v="2021-Q3"/>
        <s v="2021-Q4"/>
        <s v="2022-Q1"/>
        <s v="2022-Q2"/>
        <s v="2022-Q3"/>
        <s v="2022-Q4"/>
      </sharedItems>
    </cacheField>
    <cacheField name="[Measures].[Sum of Oil_Price_Qtr_Avg]" caption="Sum of Oil_Price_Qtr_Avg" numFmtId="0" hierarchy="18" level="32767"/>
    <cacheField name="[Measures].[Sum of operating_income]" caption="Sum of operating_income" numFmtId="0" hierarchy="20" level="32767"/>
    <cacheField name="[Fact_Financials_Master 1].[Airline_Name].[Airline_Name]" caption="Airline_Name" numFmtId="0" hierarchy="6" level="1">
      <sharedItems containsSemiMixedTypes="0" containsNonDate="0" containsString="0"/>
    </cacheField>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2" memberValueDatatype="130" unbalanced="0">
      <fieldsUsage count="2">
        <fieldUsage x="-1"/>
        <fieldUsage x="0"/>
      </fieldsUsage>
    </cacheHierarchy>
    <cacheHierarchy uniqueName="[Dim_Time 1].[Year]" caption="Year" attribute="1" defaultMemberUniqueName="[Dim_Time 1].[Year].[All]" allUniqueName="[Dim_Time 1].[Year].[All]" dimensionUniqueName="[Dim_Time 1]" displayFolder="" count="2"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3"/>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oneField="1">
      <fieldsUsage count="1">
        <fieldUsage x="1"/>
      </fieldsUsage>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oneField="1">
      <fieldsUsage count="1">
        <fieldUsage x="2"/>
      </fieldsUsage>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671319675923" backgroundQuery="1" createdVersion="8" refreshedVersion="8" minRefreshableVersion="3" recordCount="0" supportSubquery="1" supportAdvancedDrill="1" xr:uid="{A595E34C-825B-4DFE-9108-D06138A70938}">
  <cacheSource type="external" connectionId="26"/>
  <cacheFields count="3">
    <cacheField name="[Fact_Financials_Master 1].[CARES_FLAG].[CARES_FLAG]" caption="CARES_FLAG" numFmtId="0" hierarchy="12" level="1">
      <sharedItems count="2">
        <s v="CARES_Period"/>
        <s v="Normal_Period"/>
      </sharedItems>
    </cacheField>
    <cacheField name="[Measures].[Average of operating_income]" caption="Average of operating_income" numFmtId="0" hierarchy="23" level="32767"/>
    <cacheField name="[Fact_Financials_Master 1].[Airline_Name].[Airline_Name]" caption="Airline_Name" numFmtId="0" hierarchy="6" level="1">
      <sharedItems containsSemiMixedTypes="0" containsNonDate="0" containsString="0"/>
    </cacheField>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0" memberValueDatatype="130" unbalanced="0"/>
    <cacheHierarchy uniqueName="[Dim_Time 1].[Year]" caption="Year" attribute="1" defaultMemberUniqueName="[Dim_Time 1].[Year].[All]" allUniqueName="[Dim_Time 1].[Year].[All]" dimensionUniqueName="[Dim_Time 1]" displayFolder="" count="0"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2"/>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fieldsUsage count="2">
        <fieldUsage x="-1"/>
        <fieldUsage x="0"/>
      </fieldsUsage>
    </cacheHierarchy>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oneField="1">
      <fieldsUsage count="1">
        <fieldUsage x="1"/>
      </fieldsUsage>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671320254631" backgroundQuery="1" createdVersion="8" refreshedVersion="8" minRefreshableVersion="3" recordCount="0" supportSubquery="1" supportAdvancedDrill="1" xr:uid="{D14749BB-AB0F-4115-BBAD-6FAE3DF6DC4E}">
  <cacheSource type="external" connectionId="26"/>
  <cacheFields count="5">
    <cacheField name="[Fact_Financials_Master 1].[Airline_Name].[Airline_Name]" caption="Airline_Name" numFmtId="0" hierarchy="6" level="1">
      <sharedItems count="10">
        <s v="Delta Airlines"/>
        <s v="Alaska Airlines" u="1"/>
        <s v="Allegiant Airlines" u="1"/>
        <s v="American Airlines" u="1"/>
        <s v="Frontier Airlines" u="1"/>
        <s v="Hawaiian Airlines" u="1"/>
        <s v="JetBlue Airlines" u="1"/>
        <s v="Southwest Airlines" u="1"/>
        <s v="Spirit Airlines" u="1"/>
        <s v="United Airlines" u="1"/>
      </sharedItems>
    </cacheField>
    <cacheField name="[Measures].[Sum of operating_income]" caption="Sum of operating_income" numFmtId="0" hierarchy="20" level="32767"/>
    <cacheField name="[Fact_Financials_Master 1].[Oil_Bucket].[Oil_Bucket]" caption="Oil_Bucket" numFmtId="0" hierarchy="13" level="1">
      <sharedItems count="4">
        <s v="100_Plus"/>
        <s v="50_to_80"/>
        <s v="80_to_100"/>
        <s v="Below_50"/>
      </sharedItems>
    </cacheField>
    <cacheField name="[Measures].[Sum of operating_revenue]" caption="Sum of operating_revenue" numFmtId="0" hierarchy="21" level="32767"/>
    <cacheField name="[Measures].[Operating Margin Percentage]" caption="Operating Margin Percentage" numFmtId="0" hierarchy="25" level="32767"/>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0" memberValueDatatype="130" unbalanced="0"/>
    <cacheHierarchy uniqueName="[Dim_Time 1].[Year]" caption="Year" attribute="1" defaultMemberUniqueName="[Dim_Time 1].[Year].[All]" allUniqueName="[Dim_Time 1].[Year].[All]" dimensionUniqueName="[Dim_Time 1]" displayFolder="" count="2"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0"/>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2" memberValueDatatype="130" unbalanced="0">
      <fieldsUsage count="2">
        <fieldUsage x="-1"/>
        <fieldUsage x="2"/>
      </fieldsUsage>
    </cacheHierarchy>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oneField="1">
      <fieldsUsage count="1">
        <fieldUsage x="1"/>
      </fieldsUsage>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oneField="1">
      <fieldsUsage count="1">
        <fieldUsage x="3"/>
      </fieldsUsage>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oneField="1">
      <fieldsUsage count="1">
        <fieldUsage x="4"/>
      </fieldsUsage>
    </cacheHierarchy>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674620254627" backgroundQuery="1" createdVersion="8" refreshedVersion="8" minRefreshableVersion="3" recordCount="0" supportSubquery="1" supportAdvancedDrill="1" xr:uid="{14AE7DBF-1891-4971-9039-1A1803E44CCA}">
  <cacheSource type="external" connectionId="26"/>
  <cacheFields count="2">
    <cacheField name="[Fact_Financials_Master 1].[Airline_Name].[Airline_Name]" caption="Airline_Name" numFmtId="0" hierarchy="6" level="1">
      <sharedItems count="10">
        <s v="Alaska Airlines"/>
        <s v="Allegiant Airlines"/>
        <s v="American Airlines"/>
        <s v="Delta Airlines"/>
        <s v="Frontier Airlines"/>
        <s v="Hawaiian Airlines"/>
        <s v="JetBlue Airlines"/>
        <s v="Southwest Airlines"/>
        <s v="Spirit Airlines"/>
        <s v="United Airlines"/>
      </sharedItems>
    </cacheField>
    <cacheField name="[Measures].[Sum of operating_revenue]" caption="Sum of operating_revenue" numFmtId="0" hierarchy="21" level="32767"/>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0" memberValueDatatype="130" unbalanced="0"/>
    <cacheHierarchy uniqueName="[Dim_Time 1].[Year]" caption="Year" attribute="1" defaultMemberUniqueName="[Dim_Time 1].[Year].[All]" allUniqueName="[Dim_Time 1].[Year].[All]" dimensionUniqueName="[Dim_Time 1]" displayFolder="" count="2"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0"/>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oneField="1">
      <fieldsUsage count="1">
        <fieldUsage x="1"/>
      </fieldsUsage>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632344675927" backgroundQuery="1" createdVersion="3" refreshedVersion="8" minRefreshableVersion="3" recordCount="0" supportSubquery="1" supportAdvancedDrill="1" xr:uid="{51DBBAF4-8CD7-4512-91A3-F9B647DAB5F3}">
  <cacheSource type="external" connectionId="26">
    <extLst>
      <ext xmlns:x14="http://schemas.microsoft.com/office/spreadsheetml/2009/9/main" uri="{F057638F-6D5F-4e77-A914-E7F072B9BCA8}">
        <x14:sourceConnection name="ThisWorkbookDataModel"/>
      </ext>
    </extLst>
  </cacheSource>
  <cacheFields count="0"/>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0" memberValueDatatype="130" unbalanced="0"/>
    <cacheHierarchy uniqueName="[Dim_Time 1].[Year]" caption="Year" attribute="1" defaultMemberUniqueName="[Dim_Time 1].[Year].[All]" allUniqueName="[Dim_Time 1].[Year].[All]" dimensionUniqueName="[Dim_Time 1]" displayFolder="" count="2"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28383439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8289F6E-C3D9-4FB2-B908-158E1DEC94BE}" name="pvt_covid_income_drop" cacheId="232" applyNumberFormats="0" applyBorderFormats="0" applyFontFormats="0" applyPatternFormats="0" applyAlignmentFormats="0" applyWidthHeightFormats="1" dataCaption="Values" tag="31507c80-dd43-41c3-ade2-59e05265b2f8" updatedVersion="8" minRefreshableVersion="3" useAutoFormatting="1" subtotalHiddenItems="1" itemPrintTitles="1" createdVersion="8" indent="0" outline="1" outlineData="1" multipleFieldFilters="0">
  <location ref="A20:BF23" firstHeaderRow="1" firstDataRow="2" firstDataCol="1"/>
  <pivotFields count="3">
    <pivotField axis="axisRow" allDrilled="1" subtotalTop="0" showAll="0" dataSourceSort="1" defaultSubtotal="0" defaultAttributeDrillState="1">
      <items count="1">
        <item s="1" x="0"/>
      </items>
    </pivotField>
    <pivotField dataField="1" subtotalTop="0" showAll="0" defaultSubtotal="0"/>
    <pivotField axis="axisCol" allDrilled="1" subtotalTop="0" showAll="0" dataSourceSort="1" defaultSubtotal="0" defaultAttributeDrillState="1">
      <items count="5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s>
    </pivotField>
  </pivotFields>
  <rowFields count="1">
    <field x="0"/>
  </rowFields>
  <rowItems count="2">
    <i>
      <x/>
    </i>
    <i t="grand">
      <x/>
    </i>
  </rowItems>
  <colFields count="1">
    <field x="2"/>
  </colFields>
  <colItems count="5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t="grand">
      <x/>
    </i>
  </colItems>
  <dataFields count="1">
    <dataField name="Sum of operating_income" fld="1" baseField="0" baseItem="0" numFmtId="164"/>
  </dataFields>
  <pivotHierarchies count="32">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activeTabTopLevelEntity name="[Dim_Tim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6180E4D-B594-4B0A-90AB-F7A7F9473099}" name="pvt_margin_by_airline" cacheId="229" applyNumberFormats="0" applyBorderFormats="0" applyFontFormats="0" applyPatternFormats="0" applyAlignmentFormats="0" applyWidthHeightFormats="1" dataCaption="Values" tag="693290d9-5af3-4eb1-a6d2-b20616936967" updatedVersion="8" minRefreshableVersion="3" useAutoFormatting="1" subtotalHiddenItems="1" itemPrintTitles="1" createdVersion="8" indent="0" outline="1" outlineData="1" multipleFieldFilters="0">
  <location ref="A3:AE7" firstHeaderRow="1" firstDataRow="3" firstDataCol="1"/>
  <pivotFields count="4">
    <pivotField axis="axisRow" allDrilled="1" subtotalTop="0" showAll="0" dataSourceSort="1" defaultSubtotal="0" defaultAttributeDrillState="1">
      <items count="1">
        <item s="1" x="0"/>
      </items>
    </pivotField>
    <pivotField axis="axisCol"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dataField="1" subtotalTop="0" showAll="0" defaultSubtotal="0"/>
  </pivotFields>
  <rowFields count="1">
    <field x="0"/>
  </rowFields>
  <rowItems count="2">
    <i>
      <x/>
    </i>
    <i t="grand">
      <x/>
    </i>
  </rowItems>
  <colFields count="2">
    <field x="1"/>
    <field x="-2"/>
  </colFields>
  <colItems count="30">
    <i>
      <x/>
      <x/>
    </i>
    <i r="1" i="1">
      <x v="1"/>
    </i>
    <i>
      <x v="1"/>
      <x/>
    </i>
    <i r="1" i="1">
      <x v="1"/>
    </i>
    <i>
      <x v="2"/>
      <x/>
    </i>
    <i r="1" i="1">
      <x v="1"/>
    </i>
    <i>
      <x v="3"/>
      <x/>
    </i>
    <i r="1" i="1">
      <x v="1"/>
    </i>
    <i>
      <x v="4"/>
      <x/>
    </i>
    <i r="1" i="1">
      <x v="1"/>
    </i>
    <i>
      <x v="5"/>
      <x/>
    </i>
    <i r="1" i="1">
      <x v="1"/>
    </i>
    <i>
      <x v="6"/>
      <x/>
    </i>
    <i r="1" i="1">
      <x v="1"/>
    </i>
    <i>
      <x v="7"/>
      <x/>
    </i>
    <i r="1" i="1">
      <x v="1"/>
    </i>
    <i>
      <x v="8"/>
      <x/>
    </i>
    <i r="1" i="1">
      <x v="1"/>
    </i>
    <i>
      <x v="9"/>
      <x/>
    </i>
    <i r="1" i="1">
      <x v="1"/>
    </i>
    <i>
      <x v="10"/>
      <x/>
    </i>
    <i r="1" i="1">
      <x v="1"/>
    </i>
    <i>
      <x v="11"/>
      <x/>
    </i>
    <i r="1" i="1">
      <x v="1"/>
    </i>
    <i>
      <x v="12"/>
      <x/>
    </i>
    <i r="1" i="1">
      <x v="1"/>
    </i>
    <i>
      <x v="13"/>
      <x/>
    </i>
    <i r="1" i="1">
      <x v="1"/>
    </i>
    <i t="grand">
      <x/>
    </i>
    <i t="grand" i="1">
      <x/>
    </i>
  </colItems>
  <dataFields count="2">
    <dataField name="Sum of operating_income" fld="2" baseField="0" baseItem="0" numFmtId="165"/>
    <dataField name="Sum of operating_revenue" fld="3" baseField="0" baseItem="0" numFmtId="165"/>
  </dataFields>
  <pivotHierarchies count="32">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colHierarchiesUsage count="2">
    <colHierarchyUsage hierarchyUsage="4"/>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activeTabTopLevelEntity name="[Dim_Tim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5FEB60E-7B46-4980-8FB0-094F454C227C}" name="PivotTable2" cacheId="244" applyNumberFormats="0" applyBorderFormats="0" applyFontFormats="0" applyPatternFormats="0" applyAlignmentFormats="0" applyWidthHeightFormats="1" dataCaption="Values" tag="d7e40355-3eb9-4e77-9f3b-dd6400625492" updatedVersion="8" minRefreshableVersion="3" subtotalHiddenItems="1" itemPrintTitles="1" createdVersion="8" indent="0" outline="1" outlineData="1" multipleFieldFilters="0">
  <location ref="B214:B21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operating_income" fld="0" baseField="0" baseItem="0" numFmtId="165"/>
  </dataFields>
  <pivotHierarchies count="32">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Fact_Financials_Master 1].[Airline_Name].&amp;[Delta Airline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523EDB5-8DFD-47A1-9597-166D24E402D6}" name="PivotTable1" cacheId="241" applyNumberFormats="0" applyBorderFormats="0" applyFontFormats="0" applyPatternFormats="0" applyAlignmentFormats="0" applyWidthHeightFormats="1" dataCaption="Values" tag="a030f66e-c631-42a6-a724-4c5f593bf058" updatedVersion="8" minRefreshableVersion="3" useAutoFormatting="1" subtotalHiddenItems="1" itemPrintTitles="1" createdVersion="8" indent="0" outline="1" outlineData="1" multipleFieldFilters="0">
  <location ref="A214:A21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operating_revenue" fld="0" baseField="0" baseItem="0" numFmtId="165"/>
  </dataFields>
  <pivotHierarchies count="32">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Fact_Financials_Master 1].[Airline_Name].&amp;[Delta Airline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1CB5AA8-081F-4D8D-826D-8C19EF2C5488}" name="pvt_load_factor_vs_profit" cacheId="235" applyNumberFormats="0" applyBorderFormats="0" applyFontFormats="0" applyPatternFormats="0" applyAlignmentFormats="0" applyWidthHeightFormats="1" dataCaption="Values" tag="7d0c064f-1aa4-45e0-b027-ab4f80c3fec2" updatedVersion="8" minRefreshableVersion="3" useAutoFormatting="1" subtotalHiddenItems="1" itemPrintTitles="1" createdVersion="8" indent="0" outline="1" outlineData="1" multipleFieldFilters="0">
  <location ref="A145:E204" firstHeaderRow="1" firstDataRow="3" firstDataCol="1"/>
  <pivotFields count="4">
    <pivotField axis="axisRow" allDrilled="1" subtotalTop="0" showAll="0" dataSourceSort="1" defaultSubtotal="0" defaultAttributeDrillState="1">
      <items count="5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s>
    </pivotField>
    <pivotField axis="axisCol" allDrilled="1" subtotalTop="0" showAll="0" dataSourceSort="1" defaultSubtotal="0" defaultAttributeDrillState="1">
      <items count="1">
        <item s="1" x="0"/>
      </items>
    </pivotField>
    <pivotField dataField="1" subtotalTop="0" showAll="0" defaultSubtotal="0"/>
    <pivotField dataField="1" subtotalTop="0" showAll="0" defaultSubtotal="0"/>
  </pivotFields>
  <rowFields count="1">
    <field x="0"/>
  </rowFields>
  <rowItems count="5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t="grand">
      <x/>
    </i>
  </rowItems>
  <colFields count="2">
    <field x="1"/>
    <field x="-2"/>
  </colFields>
  <colItems count="4">
    <i>
      <x/>
      <x/>
    </i>
    <i r="1" i="1">
      <x v="1"/>
    </i>
    <i t="grand">
      <x/>
    </i>
    <i t="grand" i="1">
      <x/>
    </i>
  </colItems>
  <dataFields count="2">
    <dataField name="Sum of load_factor" fld="2" baseField="0" baseItem="0"/>
    <dataField name="Sum of operating_income" fld="3" baseField="0" baseItem="0"/>
  </dataFields>
  <pivotHierarchies count="32">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operating_incom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2">
    <colHierarchyUsage hierarchyUsage="6"/>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activeTabTopLevelEntity name="[Dim_Time 1]"/>
        <x15:activeTabTopLevelEntity name="[Oil_Price_Qtr_Av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FD6CDC-5351-445C-ADAB-BCD493DB267E}" name="pvt_oil_vs_profit" cacheId="238" applyNumberFormats="0" applyBorderFormats="0" applyFontFormats="0" applyPatternFormats="0" applyAlignmentFormats="0" applyWidthHeightFormats="1" dataCaption="Values" tag="12ef1bf4-42c9-41dd-bf9e-4cf15fe56081" updatedVersion="8" minRefreshableVersion="3" useAutoFormatting="1" subtotalHiddenItems="1" itemPrintTitles="1" createdVersion="8" indent="0" outline="1" outlineData="1" multipleFieldFilters="0" chartFormat="8">
  <location ref="A73:C130" firstHeaderRow="0" firstDataRow="1" firstDataCol="1"/>
  <pivotFields count="4">
    <pivotField axis="axisRow" allDrilled="1" subtotalTop="0" showAll="0" dataSourceSort="1" defaultSubtotal="0" defaultAttributeDrillState="1">
      <items count="5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5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t="grand">
      <x/>
    </i>
  </rowItems>
  <colFields count="1">
    <field x="-2"/>
  </colFields>
  <colItems count="2">
    <i>
      <x/>
    </i>
    <i i="1">
      <x v="1"/>
    </i>
  </colItems>
  <dataFields count="2">
    <dataField name="Sum of Oil_Price_Qtr_Avg" fld="1" baseField="0" baseItem="0" numFmtId="165"/>
    <dataField name="Sum of operating_income" fld="2" baseField="0" baseItem="0" numFmtId="165"/>
  </dataFields>
  <pivotHierarchies count="32">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members count="1" level="1">
        <member name="[Fact_Financials_Master 1].[Airline_Name].&amp;[Delta Airline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activeTabTopLevelEntity name="[Dim_Time 1]"/>
        <x15:activeTabTopLevelEntity name="[Oil_Price_Qtr_Av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07220C1-5EB9-4FC6-B8CC-4CD19D5BE7F2}" name="PivotTable3" cacheId="16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E3:G9" firstHeaderRow="0" firstDataRow="1" firstDataCol="1"/>
  <pivotFields count="3">
    <pivotField axis="axisRow" allDrilled="1" subtotalTop="0" showAll="0" dataSourceSort="1" defaultSubtotal="0" defaultAttributeDrillState="1">
      <items count="5">
        <item s="1" x="0"/>
        <item s="1" x="1"/>
        <item s="1" x="2"/>
        <item s="1" x="3"/>
        <item s="1"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name="Sum of operating_revenue" fld="1" baseField="0" baseItem="0"/>
    <dataField name="Sum of net_income" fld="2"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ime 1]"/>
        <x15:activeTabTopLevelEntity name="[Fact_Financials_Master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8EBD4E-E73B-4DB5-A0A4-A0EE846DFE0F}" name="bailout_money" cacheId="14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K11:L22" firstHeaderRow="1" firstDataRow="1" firstDataCol="1" rowPageCount="1" colPageCount="1"/>
  <pivotFields count="3">
    <pivotField axis="axisRow" allDrilled="1" subtotalTop="0" showAll="0"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xis="axisPage" allDrilled="1" subtotalTop="0" showAll="0" dataSourceSort="1" defaultSubtotal="0" defaultAttributeDrillState="1"/>
  </pivotFields>
  <rowFields count="1">
    <field x="0"/>
  </rowFields>
  <rowItems count="11">
    <i>
      <x v="3"/>
    </i>
    <i>
      <x v="1"/>
    </i>
    <i>
      <x v="8"/>
    </i>
    <i>
      <x v="4"/>
    </i>
    <i>
      <x v="5"/>
    </i>
    <i>
      <x v="6"/>
    </i>
    <i>
      <x/>
    </i>
    <i>
      <x v="7"/>
    </i>
    <i>
      <x v="9"/>
    </i>
    <i>
      <x v="2"/>
    </i>
    <i t="grand">
      <x/>
    </i>
  </rowItems>
  <colItems count="1">
    <i/>
  </colItems>
  <pageFields count="1">
    <pageField fld="2" hier="12" name="[Fact_Financials_Master 1].[CARES_FLAG].&amp;[CARES_Period]" cap="CARES_Period"/>
  </pageFields>
  <dataFields count="1">
    <dataField fld="1" subtotal="count" baseField="0" baseItem="0" numFmtId="166"/>
  </dataFields>
  <chartFormats count="3">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0" count="1" selected="0">
            <x v="3"/>
          </reference>
        </references>
      </pivotArea>
    </chartFormat>
    <chartFormat chart="4" format="4">
      <pivotArea type="data" outline="0" fieldPosition="0">
        <references count="2">
          <reference field="4294967294" count="1" selected="0">
            <x v="0"/>
          </reference>
          <reference field="0" count="1" selected="0">
            <x v="2"/>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61B682-9A9F-4D01-B0D5-5F309AB48FCB}" name="avg_op_income_cares_and_normal_periods" cacheId="25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K1:L4"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Average of operating_income" fld="1" subtotal="average" baseField="0" baseItem="0" numFmtId="166"/>
  </dataFields>
  <chartFormats count="3">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0" count="1" selected="0">
            <x v="0"/>
          </reference>
        </references>
      </pivotArea>
    </chartFormat>
    <chartFormat chart="4" format="4">
      <pivotArea type="data" outline="0" fieldPosition="0">
        <references count="2">
          <reference field="4294967294" count="1" selected="0">
            <x v="0"/>
          </reference>
          <reference field="0" count="1" selected="0">
            <x v="1"/>
          </reference>
        </references>
      </pivotArea>
    </chartFormat>
  </chartFormats>
  <pivotHierarchies count="32">
    <pivotHierarchy dragToData="1"/>
    <pivotHierarchy dragToData="1"/>
    <pivotHierarchy dragToData="1"/>
    <pivotHierarchy dragToData="1"/>
    <pivotHierarchy dragToData="1"/>
    <pivotHierarchy dragToData="1"/>
    <pivotHierarchy multipleItemSelectionAllowed="1" dragToData="1">
      <members count="1" level="1">
        <member name="[Fact_Financials_Master 1].[Airline_Name].&amp;[Delta Airlin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operating_incom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2A9B543-832F-43A9-ACDC-0C0F9AD49048}" name="PivotTable5" cacheId="250" applyNumberFormats="0" applyBorderFormats="0" applyFontFormats="0" applyPatternFormats="0" applyAlignmentFormats="0" applyWidthHeightFormats="1" dataCaption="Values" tag="26701887-5772-44ec-aacb-7cafe5b787be" updatedVersion="8" minRefreshableVersion="3" useAutoFormatting="1" subtotalHiddenItems="1" itemPrintTitles="1" createdVersion="8" indent="0" outline="1" outlineData="1" multipleFieldFilters="0" chartFormat="7">
  <location ref="B208:D265" firstHeaderRow="0" firstDataRow="1" firstDataCol="1"/>
  <pivotFields count="4">
    <pivotField axis="axisRow" allDrilled="1" subtotalTop="0" showAll="0" dataSourceSort="1" defaultSubtotal="0" defaultAttributeDrillState="1">
      <items count="5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5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t="grand">
      <x/>
    </i>
  </rowItems>
  <colFields count="1">
    <field x="-2"/>
  </colFields>
  <colItems count="2">
    <i>
      <x/>
    </i>
    <i i="1">
      <x v="1"/>
    </i>
  </colItems>
  <dataFields count="2">
    <dataField name="Sum of Oil_Price_Qtr_Avg" fld="1" baseField="0" baseItem="0" numFmtId="165"/>
    <dataField name="Sum of operating_income" fld="2" baseField="0" baseItem="0" numFmtId="165"/>
  </dataFields>
  <chartFormats count="3">
    <chartFormat chart="6" format="4" series="1">
      <pivotArea type="data" outline="0" fieldPosition="0">
        <references count="1">
          <reference field="4294967294" count="1" selected="0">
            <x v="1"/>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0" count="1" selected="0">
            <x v="26"/>
          </reference>
        </references>
      </pivotArea>
    </chartFormat>
  </chartFormats>
  <pivotHierarchies count="32">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members count="1" level="1">
        <member name="[Fact_Financials_Master 1].[Airline_Name].&amp;[Delta Airline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activeTabTopLevelEntity name="[Dim_Time 1]"/>
        <x15:activeTabTopLevelEntity name="[Oil_Price_Qtr_Av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58D8BFB-8AE7-4507-A957-F6F469F41A7A}" name="PivotTable4" cacheId="247" applyNumberFormats="0" applyBorderFormats="0" applyFontFormats="0" applyPatternFormats="0" applyAlignmentFormats="0" applyWidthHeightFormats="1" dataCaption="Values" tag="94baab2a-2841-4d55-b5ae-4c0e6c9c3712" updatedVersion="8" minRefreshableVersion="3" useAutoFormatting="1" subtotalHiddenItems="1" itemPrintTitles="1" createdVersion="8" indent="0" outline="1" outlineData="1" multipleFieldFilters="0" chartFormat="5">
  <location ref="A3:C60" firstHeaderRow="0" firstDataRow="1" firstDataCol="1" rowPageCount="1" colPageCount="1"/>
  <pivotFields count="4">
    <pivotField axis="axisRow" allDrilled="1" subtotalTop="0" showAll="0" dataSourceSort="1" defaultSubtotal="0" defaultAttributeDrillState="1">
      <items count="5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s>
    </pivotField>
    <pivotField dataField="1" subtotalTop="0" showAll="0" defaultSubtotal="0"/>
    <pivotField dataField="1" subtotalTop="0" showAll="0" defaultSubtotal="0"/>
    <pivotField axis="axisPage" allDrilled="1" subtotalTop="0" showAll="0" dataSourceSort="1" defaultSubtotal="0" defaultAttributeDrillState="1"/>
  </pivotFields>
  <rowFields count="1">
    <field x="0"/>
  </rowFields>
  <rowItems count="5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t="grand">
      <x/>
    </i>
  </rowItems>
  <colFields count="1">
    <field x="-2"/>
  </colFields>
  <colItems count="2">
    <i>
      <x/>
    </i>
    <i i="1">
      <x v="1"/>
    </i>
  </colItems>
  <pageFields count="1">
    <pageField fld="3" hier="6" name="[Fact_Financials_Master 1].[Airline_Name].&amp;[Delta Airlines]" cap="Delta Airlines"/>
  </pageFields>
  <dataFields count="2">
    <dataField name="Sum of operating_income" fld="1" baseField="0" baseItem="0"/>
    <dataField name="Sum of net_income" fld="2" baseField="0" baseItem="0"/>
  </dataFields>
  <pivotHierarchies count="32">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Fact_Financials_Master 1].[Airline_Name].&amp;[Delta Airline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ime 1]"/>
        <x15:activeTabTopLevelEntity name="[Fact_Financials_Master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6FEBDEB-2FB4-4AB8-931F-06486303DE78}" name="Airline_margin" cacheId="262" applyNumberFormats="0" applyBorderFormats="0" applyFontFormats="0" applyPatternFormats="0" applyAlignmentFormats="0" applyWidthHeightFormats="1" dataCaption="Values" tag="dd6403d9-c15e-4d92-9062-62d2e8b5559e" updatedVersion="8" minRefreshableVersion="3" useAutoFormatting="1" subtotalHiddenItems="1" itemPrintTitles="1" createdVersion="8" indent="0" outline="1" outlineData="1" multipleFieldFilters="0" chartFormat="7">
  <location ref="B370:C381" firstHeaderRow="1" firstDataRow="1" firstDataCol="1"/>
  <pivotFields count="2">
    <pivotField axis="axisRow" allDrilled="1" subtotalTop="0" showAll="0"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1">
    <i>
      <x v="1"/>
    </i>
    <i>
      <x v="4"/>
    </i>
    <i>
      <x v="5"/>
    </i>
    <i>
      <x v="8"/>
    </i>
    <i>
      <x/>
    </i>
    <i>
      <x v="6"/>
    </i>
    <i>
      <x v="7"/>
    </i>
    <i>
      <x v="2"/>
    </i>
    <i>
      <x v="9"/>
    </i>
    <i>
      <x v="3"/>
    </i>
    <i t="grand">
      <x/>
    </i>
  </rowItems>
  <colItems count="1">
    <i/>
  </colItems>
  <dataFields count="1">
    <dataField name="Sum of operating_revenue" fld="1" baseField="0" baseItem="0" numFmtId="165"/>
  </dataFields>
  <chartFormats count="2">
    <chartFormat chart="4" format="4"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0" count="1" selected="0">
            <x v="3"/>
          </reference>
        </references>
      </pivotArea>
    </chartFormat>
  </chartFormats>
  <pivotHierarchies count="32">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activeTabTopLevelEntity name="[Dim_Tim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8A70D72-BF2A-4B65-89B3-07FDD04A6A91}" name="pvt_oil_threshold" cacheId="256" applyNumberFormats="0" applyBorderFormats="0" applyFontFormats="0" applyPatternFormats="0" applyAlignmentFormats="0" applyWidthHeightFormats="1" dataCaption="Values" tag="1115740d-cd65-4462-bb75-f80cac969fde" updatedVersion="8" minRefreshableVersion="3" subtotalHiddenItems="1" itemPrintTitles="1" createdVersion="8" indent="0" outline="1" outlineData="1" multipleFieldFilters="0" chartFormat="5">
  <location ref="B315:H322" firstHeaderRow="1" firstDataRow="3" firstDataCol="1"/>
  <pivotFields count="5">
    <pivotField axis="axisCol" allDrilled="1" subtotalTop="0" showAll="0" dataSourceSort="1" defaultSubtotal="0" defaultAttributeDrillState="1">
      <items count="10">
        <item s="1" x="0"/>
        <item x="1"/>
        <item x="2"/>
        <item x="3"/>
        <item x="4"/>
        <item x="5"/>
        <item x="6"/>
        <item x="7"/>
        <item x="8"/>
        <item x="9"/>
      </items>
    </pivotField>
    <pivotField dataField="1" subtotalTop="0" showAll="0" defaultSubtotal="0"/>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2"/>
  </rowFields>
  <rowItems count="5">
    <i>
      <x/>
    </i>
    <i>
      <x v="1"/>
    </i>
    <i>
      <x v="2"/>
    </i>
    <i>
      <x v="3"/>
    </i>
    <i t="grand">
      <x/>
    </i>
  </rowItems>
  <colFields count="2">
    <field x="0"/>
    <field x="-2"/>
  </colFields>
  <colItems count="6">
    <i>
      <x/>
      <x/>
    </i>
    <i r="1" i="1">
      <x v="1"/>
    </i>
    <i r="1" i="2">
      <x v="2"/>
    </i>
    <i t="grand">
      <x/>
    </i>
    <i t="grand" i="1">
      <x/>
    </i>
    <i t="grand" i="2">
      <x/>
    </i>
  </colItems>
  <dataFields count="3">
    <dataField name="Sum of operating_income" fld="1" baseField="0" baseItem="0" numFmtId="165"/>
    <dataField name="Sum of operating_revenue" fld="3" baseField="0" baseItem="0" numFmtId="165"/>
    <dataField fld="4" subtotal="count" baseField="0" baseItem="0" numFmtId="10"/>
  </dataFields>
  <chartFormats count="30">
    <chartFormat chart="4" format="6" series="1">
      <pivotArea type="data" outline="0" fieldPosition="0">
        <references count="2">
          <reference field="4294967294" count="1" selected="0">
            <x v="0"/>
          </reference>
          <reference field="0" count="1" selected="0">
            <x v="0"/>
          </reference>
        </references>
      </pivotArea>
    </chartFormat>
    <chartFormat chart="4" format="7" series="1">
      <pivotArea type="data" outline="0" fieldPosition="0">
        <references count="2">
          <reference field="4294967294" count="1" selected="0">
            <x v="1"/>
          </reference>
          <reference field="0" count="1" selected="0">
            <x v="0"/>
          </reference>
        </references>
      </pivotArea>
    </chartFormat>
    <chartFormat chart="4" format="8" series="1">
      <pivotArea type="data" outline="0" fieldPosition="0">
        <references count="2">
          <reference field="4294967294" count="1" selected="0">
            <x v="2"/>
          </reference>
          <reference field="0" count="1" selected="0">
            <x v="0"/>
          </reference>
        </references>
      </pivotArea>
    </chartFormat>
    <chartFormat chart="4" format="9" series="1">
      <pivotArea type="data" outline="0" fieldPosition="0">
        <references count="2">
          <reference field="4294967294" count="1" selected="0">
            <x v="0"/>
          </reference>
          <reference field="0" count="1" selected="0">
            <x v="3"/>
          </reference>
        </references>
      </pivotArea>
    </chartFormat>
    <chartFormat chart="4" format="10" series="1">
      <pivotArea type="data" outline="0" fieldPosition="0">
        <references count="2">
          <reference field="4294967294" count="1" selected="0">
            <x v="1"/>
          </reference>
          <reference field="0" count="1" selected="0">
            <x v="3"/>
          </reference>
        </references>
      </pivotArea>
    </chartFormat>
    <chartFormat chart="4" format="11" series="1">
      <pivotArea type="data" outline="0" fieldPosition="0">
        <references count="2">
          <reference field="4294967294" count="1" selected="0">
            <x v="2"/>
          </reference>
          <reference field="0" count="1" selected="0">
            <x v="3"/>
          </reference>
        </references>
      </pivotArea>
    </chartFormat>
    <chartFormat chart="4" format="12" series="1">
      <pivotArea type="data" outline="0" fieldPosition="0">
        <references count="2">
          <reference field="4294967294" count="1" selected="0">
            <x v="0"/>
          </reference>
          <reference field="0" count="1" selected="0">
            <x v="9"/>
          </reference>
        </references>
      </pivotArea>
    </chartFormat>
    <chartFormat chart="4" format="13" series="1">
      <pivotArea type="data" outline="0" fieldPosition="0">
        <references count="2">
          <reference field="4294967294" count="1" selected="0">
            <x v="1"/>
          </reference>
          <reference field="0" count="1" selected="0">
            <x v="9"/>
          </reference>
        </references>
      </pivotArea>
    </chartFormat>
    <chartFormat chart="4" format="14" series="1">
      <pivotArea type="data" outline="0" fieldPosition="0">
        <references count="2">
          <reference field="4294967294" count="1" selected="0">
            <x v="2"/>
          </reference>
          <reference field="0" count="1" selected="0">
            <x v="9"/>
          </reference>
        </references>
      </pivotArea>
    </chartFormat>
    <chartFormat chart="4" format="15" series="1">
      <pivotArea type="data" outline="0" fieldPosition="0">
        <references count="2">
          <reference field="4294967294" count="1" selected="0">
            <x v="0"/>
          </reference>
          <reference field="0" count="1" selected="0">
            <x v="7"/>
          </reference>
        </references>
      </pivotArea>
    </chartFormat>
    <chartFormat chart="4" format="16" series="1">
      <pivotArea type="data" outline="0" fieldPosition="0">
        <references count="2">
          <reference field="4294967294" count="1" selected="0">
            <x v="1"/>
          </reference>
          <reference field="0" count="1" selected="0">
            <x v="7"/>
          </reference>
        </references>
      </pivotArea>
    </chartFormat>
    <chartFormat chart="4" format="17" series="1">
      <pivotArea type="data" outline="0" fieldPosition="0">
        <references count="2">
          <reference field="4294967294" count="1" selected="0">
            <x v="2"/>
          </reference>
          <reference field="0" count="1" selected="0">
            <x v="7"/>
          </reference>
        </references>
      </pivotArea>
    </chartFormat>
    <chartFormat chart="4" format="18" series="1">
      <pivotArea type="data" outline="0" fieldPosition="0">
        <references count="2">
          <reference field="4294967294" count="1" selected="0">
            <x v="0"/>
          </reference>
          <reference field="0" count="1" selected="0">
            <x v="5"/>
          </reference>
        </references>
      </pivotArea>
    </chartFormat>
    <chartFormat chart="4" format="19" series="1">
      <pivotArea type="data" outline="0" fieldPosition="0">
        <references count="2">
          <reference field="4294967294" count="1" selected="0">
            <x v="1"/>
          </reference>
          <reference field="0" count="1" selected="0">
            <x v="5"/>
          </reference>
        </references>
      </pivotArea>
    </chartFormat>
    <chartFormat chart="4" format="20" series="1">
      <pivotArea type="data" outline="0" fieldPosition="0">
        <references count="2">
          <reference field="4294967294" count="1" selected="0">
            <x v="2"/>
          </reference>
          <reference field="0" count="1" selected="0">
            <x v="5"/>
          </reference>
        </references>
      </pivotArea>
    </chartFormat>
    <chartFormat chart="4" format="21" series="1">
      <pivotArea type="data" outline="0" fieldPosition="0">
        <references count="2">
          <reference field="4294967294" count="1" selected="0">
            <x v="0"/>
          </reference>
          <reference field="0" count="1" selected="0">
            <x v="8"/>
          </reference>
        </references>
      </pivotArea>
    </chartFormat>
    <chartFormat chart="4" format="22" series="1">
      <pivotArea type="data" outline="0" fieldPosition="0">
        <references count="2">
          <reference field="4294967294" count="1" selected="0">
            <x v="1"/>
          </reference>
          <reference field="0" count="1" selected="0">
            <x v="8"/>
          </reference>
        </references>
      </pivotArea>
    </chartFormat>
    <chartFormat chart="4" format="23" series="1">
      <pivotArea type="data" outline="0" fieldPosition="0">
        <references count="2">
          <reference field="4294967294" count="1" selected="0">
            <x v="2"/>
          </reference>
          <reference field="0" count="1" selected="0">
            <x v="8"/>
          </reference>
        </references>
      </pivotArea>
    </chartFormat>
    <chartFormat chart="4" format="24" series="1">
      <pivotArea type="data" outline="0" fieldPosition="0">
        <references count="2">
          <reference field="4294967294" count="1" selected="0">
            <x v="0"/>
          </reference>
          <reference field="0" count="1" selected="0">
            <x v="6"/>
          </reference>
        </references>
      </pivotArea>
    </chartFormat>
    <chartFormat chart="4" format="25" series="1">
      <pivotArea type="data" outline="0" fieldPosition="0">
        <references count="2">
          <reference field="4294967294" count="1" selected="0">
            <x v="1"/>
          </reference>
          <reference field="0" count="1" selected="0">
            <x v="6"/>
          </reference>
        </references>
      </pivotArea>
    </chartFormat>
    <chartFormat chart="4" format="26" series="1">
      <pivotArea type="data" outline="0" fieldPosition="0">
        <references count="2">
          <reference field="4294967294" count="1" selected="0">
            <x v="2"/>
          </reference>
          <reference field="0" count="1" selected="0">
            <x v="6"/>
          </reference>
        </references>
      </pivotArea>
    </chartFormat>
    <chartFormat chart="4" format="27" series="1">
      <pivotArea type="data" outline="0" fieldPosition="0">
        <references count="2">
          <reference field="4294967294" count="1" selected="0">
            <x v="0"/>
          </reference>
          <reference field="0" count="1" selected="0">
            <x v="1"/>
          </reference>
        </references>
      </pivotArea>
    </chartFormat>
    <chartFormat chart="4" format="28" series="1">
      <pivotArea type="data" outline="0" fieldPosition="0">
        <references count="2">
          <reference field="4294967294" count="1" selected="0">
            <x v="1"/>
          </reference>
          <reference field="0" count="1" selected="0">
            <x v="1"/>
          </reference>
        </references>
      </pivotArea>
    </chartFormat>
    <chartFormat chart="4" format="29" series="1">
      <pivotArea type="data" outline="0" fieldPosition="0">
        <references count="2">
          <reference field="4294967294" count="1" selected="0">
            <x v="2"/>
          </reference>
          <reference field="0" count="1" selected="0">
            <x v="1"/>
          </reference>
        </references>
      </pivotArea>
    </chartFormat>
    <chartFormat chart="4" format="30" series="1">
      <pivotArea type="data" outline="0" fieldPosition="0">
        <references count="2">
          <reference field="4294967294" count="1" selected="0">
            <x v="0"/>
          </reference>
          <reference field="0" count="1" selected="0">
            <x v="2"/>
          </reference>
        </references>
      </pivotArea>
    </chartFormat>
    <chartFormat chart="4" format="31" series="1">
      <pivotArea type="data" outline="0" fieldPosition="0">
        <references count="2">
          <reference field="4294967294" count="1" selected="0">
            <x v="1"/>
          </reference>
          <reference field="0" count="1" selected="0">
            <x v="2"/>
          </reference>
        </references>
      </pivotArea>
    </chartFormat>
    <chartFormat chart="4" format="32" series="1">
      <pivotArea type="data" outline="0" fieldPosition="0">
        <references count="2">
          <reference field="4294967294" count="1" selected="0">
            <x v="2"/>
          </reference>
          <reference field="0" count="1" selected="0">
            <x v="2"/>
          </reference>
        </references>
      </pivotArea>
    </chartFormat>
    <chartFormat chart="4" format="33" series="1">
      <pivotArea type="data" outline="0" fieldPosition="0">
        <references count="2">
          <reference field="4294967294" count="1" selected="0">
            <x v="0"/>
          </reference>
          <reference field="0" count="1" selected="0">
            <x v="4"/>
          </reference>
        </references>
      </pivotArea>
    </chartFormat>
    <chartFormat chart="4" format="34" series="1">
      <pivotArea type="data" outline="0" fieldPosition="0">
        <references count="2">
          <reference field="4294967294" count="1" selected="0">
            <x v="1"/>
          </reference>
          <reference field="0" count="1" selected="0">
            <x v="4"/>
          </reference>
        </references>
      </pivotArea>
    </chartFormat>
    <chartFormat chart="4" format="35" series="1">
      <pivotArea type="data" outline="0" fieldPosition="0">
        <references count="2">
          <reference field="4294967294" count="1" selected="0">
            <x v="2"/>
          </reference>
          <reference field="0" count="1" selected="0">
            <x v="4"/>
          </reference>
        </references>
      </pivotArea>
    </chartFormat>
  </chartFormats>
  <pivotHierarchies count="32">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operating_incom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2">
    <colHierarchyUsage hierarchyUsage="6"/>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activeTabTopLevelEntity name="[Dim_Time 1]"/>
        <x15:activeTabTopLevelEntity name="[Oil_Price_Qtr_Avg]"/>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4" xr16:uid="{7F584065-44FC-49FA-93DC-4C382831ED00}" autoFormatId="16" applyNumberFormats="0" applyBorderFormats="0" applyFontFormats="0" applyPatternFormats="0" applyAlignmentFormats="0" applyWidthHeightFormats="0">
  <queryTableRefresh nextId="4">
    <queryTableFields count="3">
      <queryTableField id="1" name="Date_Key" tableColumnId="1"/>
      <queryTableField id="2" name="Year_Quarter" tableColumnId="2"/>
      <queryTableField id="3" name="Year" tableColumnId="3"/>
    </queryTableFields>
  </queryTableRefresh>
  <extLst>
    <ext xmlns:x15="http://schemas.microsoft.com/office/spreadsheetml/2010/11/main" uri="{883FBD77-0823-4a55-B5E3-86C4891E6966}">
      <x15:queryTable sourceDataName="Query - Dim_Time"/>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2" xr16:uid="{8562BE04-9617-4819-A4AD-259E309CEAEE}" autoFormatId="16" applyNumberFormats="0" applyBorderFormats="0" applyFontFormats="0" applyPatternFormats="0" applyAlignmentFormats="0" applyWidthHeightFormats="0">
  <queryTableRefresh nextId="11">
    <queryTableFields count="10">
      <queryTableField id="1" name="Date_Key" tableColumnId="1"/>
      <queryTableField id="2" name="Airline_Name" tableColumnId="2"/>
      <queryTableField id="3" name="net_income" tableColumnId="3"/>
      <queryTableField id="4" name="load_factor" tableColumnId="4"/>
      <queryTableField id="5" name="operating_revenue" tableColumnId="5"/>
      <queryTableField id="6" name="operating_income" tableColumnId="6"/>
      <queryTableField id="7" name="fuel_cost" tableColumnId="7"/>
      <queryTableField id="8" name="CARES_FLAG" tableColumnId="8"/>
      <queryTableField id="9" name="Oil_Bucket" tableColumnId="9"/>
      <queryTableField id="10" name="Adjusted_Fuel_Cost" tableColumnId="10"/>
    </queryTableFields>
  </queryTableRefresh>
  <extLst>
    <ext xmlns:x15="http://schemas.microsoft.com/office/spreadsheetml/2010/11/main" uri="{883FBD77-0823-4a55-B5E3-86C4891E6966}">
      <x15:queryTable sourceDataName="Query - Fact_Financials_Master"/>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 xr16:uid="{57C2FAC3-4F0F-4ED9-AC76-26883BF2A7A6}" autoFormatId="16" applyNumberFormats="0" applyBorderFormats="0" applyFontFormats="0" applyPatternFormats="0" applyAlignmentFormats="0" applyWidthHeightFormats="0">
  <queryTableRefresh nextId="6">
    <queryTableFields count="3">
      <queryTableField id="3" name="Date_Key" tableColumnId="3"/>
      <queryTableField id="2" name="Oil_Price_Qtr_Avg" tableColumnId="2"/>
      <queryTableField id="5" name="Oil_Bucket" tableColumnId="1"/>
    </queryTableFields>
  </queryTableRefresh>
  <extLst>
    <ext xmlns:x15="http://schemas.microsoft.com/office/spreadsheetml/2010/11/main" uri="{883FBD77-0823-4a55-B5E3-86C4891E6966}">
      <x15:queryTable sourceDataName="Query - Oil_Price_Qtr_Avg"/>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3" xr16:uid="{6DCD879F-FE7D-47EC-BAA4-96A53F3CF36B}" autoFormatId="16" applyNumberFormats="0" applyBorderFormats="0" applyFontFormats="0" applyPatternFormats="0" applyAlignmentFormats="0" applyWidthHeightFormats="0">
  <queryTableRefresh nextId="5">
    <queryTableFields count="2">
      <queryTableField id="3" name="Date_Key" tableColumnId="3"/>
      <queryTableField id="2" name="Covid_US_Cases_Quarterly" tableColumnId="2"/>
    </queryTableFields>
  </queryTableRefresh>
  <extLst>
    <ext xmlns:x15="http://schemas.microsoft.com/office/spreadsheetml/2010/11/main" uri="{883FBD77-0823-4a55-B5E3-86C4891E6966}">
      <x15:queryTable sourceDataName="Query - covid_19_clean_complet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line_Name" xr10:uid="{AB078037-907E-4F71-9C03-F3CB83AF2F9B}" sourceName="[Fact_Financials_Master 1].[Airline_Name]">
  <pivotTables>
    <pivotTable tabId="22" name="pvt_margin_by_airline"/>
    <pivotTable tabId="22" name="pvt_covid_income_drop"/>
    <pivotTable tabId="22" name="pvt_load_factor_vs_profit"/>
    <pivotTable tabId="22" name="pvt_oil_vs_profit"/>
    <pivotTable tabId="22" name="PivotTable1"/>
    <pivotTable tabId="22" name="PivotTable2"/>
    <pivotTable tabId="24" name="PivotTable4"/>
    <pivotTable tabId="24" name="PivotTable5"/>
    <pivotTable tabId="24" name="avg_op_income_cares_and_normal_periods"/>
    <pivotTable tabId="24" name="pvt_oil_threshold"/>
  </pivotTables>
  <data>
    <olap pivotCacheId="1283834390">
      <levels count="2">
        <level uniqueName="[Fact_Financials_Master 1].[Airline_Name].[(All)]" sourceCaption="(All)" count="0"/>
        <level uniqueName="[Fact_Financials_Master 1].[Airline_Name].[Airline_Name]" sourceCaption="Airline_Name" count="10">
          <ranges>
            <range startItem="0">
              <i n="[Fact_Financials_Master 1].[Airline_Name].&amp;[Alaska Airlines]" c="Alaska Airlines"/>
              <i n="[Fact_Financials_Master 1].[Airline_Name].&amp;[Allegiant Airlines]" c="Allegiant Airlines"/>
              <i n="[Fact_Financials_Master 1].[Airline_Name].&amp;[American Airlines]" c="American Airlines"/>
              <i n="[Fact_Financials_Master 1].[Airline_Name].&amp;[Delta Airlines]" c="Delta Airlines"/>
              <i n="[Fact_Financials_Master 1].[Airline_Name].&amp;[Frontier Airlines]" c="Frontier Airlines"/>
              <i n="[Fact_Financials_Master 1].[Airline_Name].&amp;[Hawaiian Airlines]" c="Hawaiian Airlines"/>
              <i n="[Fact_Financials_Master 1].[Airline_Name].&amp;[JetBlue Airlines]" c="JetBlue Airlines"/>
              <i n="[Fact_Financials_Master 1].[Airline_Name].&amp;[Southwest Airlines]" c="Southwest Airlines"/>
              <i n="[Fact_Financials_Master 1].[Airline_Name].&amp;[Spirit Airlines]" c="Spirit Airlines"/>
              <i n="[Fact_Financials_Master 1].[Airline_Name].&amp;[United Airlines]" c="United Airlines"/>
            </range>
          </ranges>
        </level>
      </levels>
      <selections count="1">
        <selection n="[Fact_Financials_Master 1].[Airline_Name].&amp;[Delta Airlines]"/>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ES_FLAG" xr10:uid="{160B3472-8816-40F4-BA5E-029FE6CF199A}" sourceName="[Fact_Financials_Master 1].[CARES_FLAG]">
  <pivotTables>
    <pivotTable tabId="22" name="pvt_margin_by_airline"/>
    <pivotTable tabId="22" name="pvt_covid_income_drop"/>
    <pivotTable tabId="22" name="pvt_load_factor_vs_profit"/>
    <pivotTable tabId="22" name="pvt_oil_vs_profit"/>
    <pivotTable tabId="22" name="PivotTable1"/>
    <pivotTable tabId="22" name="PivotTable2"/>
    <pivotTable tabId="24" name="PivotTable4"/>
    <pivotTable tabId="24" name="PivotTable5"/>
    <pivotTable tabId="24" name="pvt_oil_threshold"/>
    <pivotTable tabId="24" name="Airline_margin"/>
  </pivotTables>
  <data>
    <olap pivotCacheId="1283834390">
      <levels count="2">
        <level uniqueName="[Fact_Financials_Master 1].[CARES_FLAG].[(All)]" sourceCaption="(All)" count="0"/>
        <level uniqueName="[Fact_Financials_Master 1].[CARES_FLAG].[CARES_FLAG]" sourceCaption="CARES_FLAG" count="2">
          <ranges>
            <range startItem="0">
              <i n="[Fact_Financials_Master 1].[CARES_FLAG].&amp;[CARES_Period]" c="CARES_Period"/>
              <i n="[Fact_Financials_Master 1].[CARES_FLAG].&amp;[Normal_Period]" c="Normal_Period"/>
            </range>
          </ranges>
        </level>
      </levels>
      <selections count="1">
        <selection n="[Fact_Financials_Master 1].[CARES_FLAG].[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2CACB4A7-A1FA-492F-BEF0-3122DCB55AAD}" sourceName="[Dim_Time 1].[Year]">
  <pivotTables>
    <pivotTable tabId="22" name="pvt_covid_income_drop"/>
    <pivotTable tabId="22" name="pvt_load_factor_vs_profit"/>
    <pivotTable tabId="22" name="pvt_margin_by_airline"/>
    <pivotTable tabId="22" name="pvt_oil_vs_profit"/>
    <pivotTable tabId="22" name="PivotTable1"/>
    <pivotTable tabId="22" name="PivotTable2"/>
    <pivotTable tabId="24" name="PivotTable4"/>
    <pivotTable tabId="24" name="PivotTable5"/>
    <pivotTable tabId="24" name="pvt_oil_threshold"/>
    <pivotTable tabId="24" name="Airline_margin"/>
  </pivotTables>
  <data>
    <olap pivotCacheId="1283834390">
      <levels count="2">
        <level uniqueName="[Dim_Time 1].[Year].[(All)]" sourceCaption="(All)" count="0"/>
        <level uniqueName="[Dim_Time 1].[Year].[Year]" sourceCaption="Year" count="14">
          <ranges>
            <range startItem="0">
              <i n="[Dim_Time 1].[Year].&amp;[2009]" c="2009"/>
              <i n="[Dim_Time 1].[Year].&amp;[2010]" c="2010"/>
              <i n="[Dim_Time 1].[Year].&amp;[2011]" c="2011"/>
              <i n="[Dim_Time 1].[Year].&amp;[2012]" c="2012"/>
              <i n="[Dim_Time 1].[Year].&amp;[2013]" c="2013"/>
              <i n="[Dim_Time 1].[Year].&amp;[2014]" c="2014"/>
              <i n="[Dim_Time 1].[Year].&amp;[2015]" c="2015"/>
              <i n="[Dim_Time 1].[Year].&amp;[2016]" c="2016"/>
              <i n="[Dim_Time 1].[Year].&amp;[2017]" c="2017"/>
              <i n="[Dim_Time 1].[Year].&amp;[2018]" c="2018"/>
              <i n="[Dim_Time 1].[Year].&amp;[2019]" c="2019"/>
              <i n="[Dim_Time 1].[Year].&amp;[2020]" c="2020"/>
              <i n="[Dim_Time 1].[Year].&amp;[2021]" c="2021"/>
              <i n="[Dim_Time 1].[Year].&amp;[2022]" c="2022"/>
            </range>
          </ranges>
        </level>
      </levels>
      <selections count="1">
        <selection n="[Dim_Time 1].[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irline_Name" xr10:uid="{A1C712E3-399A-4969-93F2-0EE52417536A}" cache="Slicer_Airline_Name" caption="Airline_Name" columnCount="2" showCaption="0" level="1" style="SaaS_dark_mode" rowHeight="257175"/>
  <slicer name="CARES_FLAG" xr10:uid="{35C1F9E1-3CA2-4E92-BC57-5D5B99C08EB0}" cache="Slicer_CARES_FLAG" caption="CARES_FLAG" columnCount="2" showCaption="0" level="1" style="SaaS_dark_mode" rowHeight="257175"/>
  <slicer name="Year" xr10:uid="{DB82F620-8581-4637-9641-0924B53C2EFC}" cache="Slicer_Year" caption="Year" columnCount="3" showCaption="0" level="1" style="SaaS_dark_mode"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DF0046F-0F23-4D98-BBFB-AEE85F247C72}" name="Dim_Time" displayName="Dim_Time" ref="A1:C57" tableType="queryTable" totalsRowShown="0">
  <autoFilter ref="A1:C57" xr:uid="{1DF0046F-0F23-4D98-BBFB-AEE85F247C72}"/>
  <tableColumns count="3">
    <tableColumn id="1" xr3:uid="{B7023532-C70D-4034-A8CC-C07C268E759B}" uniqueName="1" name="Date_Key" queryTableFieldId="1"/>
    <tableColumn id="2" xr3:uid="{4E06D808-DA3E-44E1-9226-0DE4F6003BDD}" uniqueName="2" name="Year_Quarter" queryTableFieldId="2"/>
    <tableColumn id="3" xr3:uid="{A6990B74-EB53-4332-B251-3DB89A405D72}" uniqueName="3" name="Year" queryTableFieldId="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541BB7F-B578-4FA6-9D25-C1ED169A642A}" name="Fact_Financials_Master" displayName="Fact_Financials_Master" ref="A1:J561" tableType="queryTable" totalsRowShown="0">
  <autoFilter ref="A1:J561" xr:uid="{7541BB7F-B578-4FA6-9D25-C1ED169A642A}"/>
  <tableColumns count="10">
    <tableColumn id="1" xr3:uid="{14292096-6AD8-43DA-94B1-BA8D780EC963}" uniqueName="1" name="Date_Key" queryTableFieldId="1"/>
    <tableColumn id="2" xr3:uid="{292F18C9-DD74-4B14-BD1D-B0D551CBC661}" uniqueName="2" name="Airline_Name" queryTableFieldId="2" dataDxfId="1"/>
    <tableColumn id="3" xr3:uid="{CBBC2C47-4A8C-4D2F-8D62-BC181274E05E}" uniqueName="3" name="net_income" queryTableFieldId="3"/>
    <tableColumn id="4" xr3:uid="{9B76A8D9-966B-4DBB-8C77-0C0F7AE26A3F}" uniqueName="4" name="load_factor" queryTableFieldId="4"/>
    <tableColumn id="5" xr3:uid="{782FDF7B-3D2B-4D99-8716-9EE4B98868AC}" uniqueName="5" name="operating_revenue" queryTableFieldId="5"/>
    <tableColumn id="6" xr3:uid="{EE2AF3AB-FDEA-4D8C-B03D-B65F4BF0DECF}" uniqueName="6" name="operating_income" queryTableFieldId="6"/>
    <tableColumn id="7" xr3:uid="{F923E201-5582-4991-B971-8CF10072E5CF}" uniqueName="7" name="fuel_cost" queryTableFieldId="7"/>
    <tableColumn id="8" xr3:uid="{1CFDC854-68E9-4AC0-932C-D95BB68D526A}" uniqueName="8" name="CARES_FLAG" queryTableFieldId="8"/>
    <tableColumn id="9" xr3:uid="{9A8D7727-C8FF-48C1-B9C3-10D697FAB0AF}" uniqueName="9" name="Oil_Bucket" queryTableFieldId="9"/>
    <tableColumn id="10" xr3:uid="{E2016EEC-438C-407B-8232-6351CB53422E}" uniqueName="10" name="Adjusted_Fuel_Cost" queryTableFieldId="1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3B54516-8905-4823-B6B4-19DA02BF50A0}" name="Oil_Price_Qtr_Avg" displayName="Oil_Price_Qtr_Avg" ref="A1:C57" tableType="queryTable" totalsRowShown="0">
  <autoFilter ref="A1:C57" xr:uid="{A3B54516-8905-4823-B6B4-19DA02BF50A0}"/>
  <tableColumns count="3">
    <tableColumn id="3" xr3:uid="{4F584D06-87E5-456B-B584-06FA3A4D5948}" uniqueName="3" name="Date_Key" queryTableFieldId="3" dataDxfId="0"/>
    <tableColumn id="2" xr3:uid="{1061C5FD-AA98-4027-8409-A411DFC71616}" uniqueName="2" name="Oil_Price_Qtr_Avg" queryTableFieldId="2"/>
    <tableColumn id="1" xr3:uid="{5872500D-C6A6-4CA2-9F48-05636F23E111}" uniqueName="1" name="Oil_Bucket" queryTableFieldId="5"/>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4850CC0-B6F9-4E73-AB6D-615CDAD05BCA}" name="covid_19_clean_complete" displayName="covid_19_clean_complete" ref="A1:B4" tableType="queryTable" totalsRowShown="0">
  <autoFilter ref="A1:B4" xr:uid="{34850CC0-B6F9-4E73-AB6D-615CDAD05BCA}"/>
  <tableColumns count="2">
    <tableColumn id="3" xr3:uid="{4BE25B84-8E38-4CFB-A74D-8A2F2957C489}" uniqueName="3" name="Date_Key" queryTableFieldId="3"/>
    <tableColumn id="2" xr3:uid="{DCA53E9C-5848-4397-BEE4-67E5F3E7D797}" uniqueName="2" name="Covid_US_Cases_Quarterly" queryTableField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9.xml"/><Relationship Id="rId7" Type="http://schemas.openxmlformats.org/officeDocument/2006/relationships/pivotTable" Target="../pivotTables/pivotTable13.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ivotTable" Target="../pivotTables/pivotTable12.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54540E-9A37-451B-9632-2AF508C9E49A}">
  <sheetPr>
    <tabColor theme="1"/>
  </sheetPr>
  <dimension ref="A1:C57"/>
  <sheetViews>
    <sheetView workbookViewId="0">
      <selection activeCell="B6" sqref="B6"/>
    </sheetView>
  </sheetViews>
  <sheetFormatPr defaultRowHeight="15" x14ac:dyDescent="0.25"/>
  <cols>
    <col min="1" max="1" width="11.7109375" bestFit="1" customWidth="1"/>
    <col min="2" max="2" width="15" customWidth="1"/>
    <col min="3" max="3" width="7.28515625" bestFit="1" customWidth="1"/>
  </cols>
  <sheetData>
    <row r="1" spans="1:3" x14ac:dyDescent="0.25">
      <c r="A1" t="s">
        <v>75</v>
      </c>
      <c r="B1" t="s">
        <v>0</v>
      </c>
      <c r="C1" t="s">
        <v>107</v>
      </c>
    </row>
    <row r="2" spans="1:3" x14ac:dyDescent="0.25">
      <c r="A2">
        <v>1</v>
      </c>
      <c r="B2" t="s">
        <v>3</v>
      </c>
      <c r="C2" t="s">
        <v>88</v>
      </c>
    </row>
    <row r="3" spans="1:3" x14ac:dyDescent="0.25">
      <c r="A3">
        <v>2</v>
      </c>
      <c r="B3" t="s">
        <v>5</v>
      </c>
      <c r="C3" t="s">
        <v>88</v>
      </c>
    </row>
    <row r="4" spans="1:3" x14ac:dyDescent="0.25">
      <c r="A4">
        <v>3</v>
      </c>
      <c r="B4" t="s">
        <v>6</v>
      </c>
      <c r="C4" t="s">
        <v>88</v>
      </c>
    </row>
    <row r="5" spans="1:3" x14ac:dyDescent="0.25">
      <c r="A5">
        <v>4</v>
      </c>
      <c r="B5" t="s">
        <v>7</v>
      </c>
      <c r="C5" t="s">
        <v>88</v>
      </c>
    </row>
    <row r="6" spans="1:3" x14ac:dyDescent="0.25">
      <c r="A6">
        <v>5</v>
      </c>
      <c r="B6" t="s">
        <v>8</v>
      </c>
      <c r="C6" t="s">
        <v>89</v>
      </c>
    </row>
    <row r="7" spans="1:3" x14ac:dyDescent="0.25">
      <c r="A7">
        <v>6</v>
      </c>
      <c r="B7" t="s">
        <v>9</v>
      </c>
      <c r="C7" t="s">
        <v>89</v>
      </c>
    </row>
    <row r="8" spans="1:3" x14ac:dyDescent="0.25">
      <c r="A8">
        <v>7</v>
      </c>
      <c r="B8" t="s">
        <v>10</v>
      </c>
      <c r="C8" t="s">
        <v>89</v>
      </c>
    </row>
    <row r="9" spans="1:3" x14ac:dyDescent="0.25">
      <c r="A9">
        <v>8</v>
      </c>
      <c r="B9" t="s">
        <v>11</v>
      </c>
      <c r="C9" t="s">
        <v>89</v>
      </c>
    </row>
    <row r="10" spans="1:3" x14ac:dyDescent="0.25">
      <c r="A10">
        <v>9</v>
      </c>
      <c r="B10" t="s">
        <v>12</v>
      </c>
      <c r="C10" t="s">
        <v>90</v>
      </c>
    </row>
    <row r="11" spans="1:3" x14ac:dyDescent="0.25">
      <c r="A11">
        <v>10</v>
      </c>
      <c r="B11" t="s">
        <v>13</v>
      </c>
      <c r="C11" t="s">
        <v>90</v>
      </c>
    </row>
    <row r="12" spans="1:3" x14ac:dyDescent="0.25">
      <c r="A12">
        <v>11</v>
      </c>
      <c r="B12" t="s">
        <v>14</v>
      </c>
      <c r="C12" t="s">
        <v>90</v>
      </c>
    </row>
    <row r="13" spans="1:3" x14ac:dyDescent="0.25">
      <c r="A13">
        <v>12</v>
      </c>
      <c r="B13" t="s">
        <v>15</v>
      </c>
      <c r="C13" t="s">
        <v>90</v>
      </c>
    </row>
    <row r="14" spans="1:3" x14ac:dyDescent="0.25">
      <c r="A14">
        <v>13</v>
      </c>
      <c r="B14" t="s">
        <v>16</v>
      </c>
      <c r="C14" t="s">
        <v>91</v>
      </c>
    </row>
    <row r="15" spans="1:3" x14ac:dyDescent="0.25">
      <c r="A15">
        <v>14</v>
      </c>
      <c r="B15" t="s">
        <v>17</v>
      </c>
      <c r="C15" t="s">
        <v>91</v>
      </c>
    </row>
    <row r="16" spans="1:3" x14ac:dyDescent="0.25">
      <c r="A16">
        <v>15</v>
      </c>
      <c r="B16" t="s">
        <v>18</v>
      </c>
      <c r="C16" t="s">
        <v>91</v>
      </c>
    </row>
    <row r="17" spans="1:3" x14ac:dyDescent="0.25">
      <c r="A17">
        <v>16</v>
      </c>
      <c r="B17" t="s">
        <v>19</v>
      </c>
      <c r="C17" t="s">
        <v>91</v>
      </c>
    </row>
    <row r="18" spans="1:3" x14ac:dyDescent="0.25">
      <c r="A18">
        <v>17</v>
      </c>
      <c r="B18" t="s">
        <v>20</v>
      </c>
      <c r="C18" t="s">
        <v>92</v>
      </c>
    </row>
    <row r="19" spans="1:3" x14ac:dyDescent="0.25">
      <c r="A19">
        <v>18</v>
      </c>
      <c r="B19" t="s">
        <v>21</v>
      </c>
      <c r="C19" t="s">
        <v>92</v>
      </c>
    </row>
    <row r="20" spans="1:3" x14ac:dyDescent="0.25">
      <c r="A20">
        <v>19</v>
      </c>
      <c r="B20" t="s">
        <v>22</v>
      </c>
      <c r="C20" t="s">
        <v>92</v>
      </c>
    </row>
    <row r="21" spans="1:3" x14ac:dyDescent="0.25">
      <c r="A21">
        <v>20</v>
      </c>
      <c r="B21" t="s">
        <v>23</v>
      </c>
      <c r="C21" t="s">
        <v>92</v>
      </c>
    </row>
    <row r="22" spans="1:3" x14ac:dyDescent="0.25">
      <c r="A22">
        <v>21</v>
      </c>
      <c r="B22" t="s">
        <v>24</v>
      </c>
      <c r="C22" t="s">
        <v>93</v>
      </c>
    </row>
    <row r="23" spans="1:3" x14ac:dyDescent="0.25">
      <c r="A23">
        <v>22</v>
      </c>
      <c r="B23" t="s">
        <v>25</v>
      </c>
      <c r="C23" t="s">
        <v>93</v>
      </c>
    </row>
    <row r="24" spans="1:3" x14ac:dyDescent="0.25">
      <c r="A24">
        <v>23</v>
      </c>
      <c r="B24" t="s">
        <v>26</v>
      </c>
      <c r="C24" t="s">
        <v>93</v>
      </c>
    </row>
    <row r="25" spans="1:3" x14ac:dyDescent="0.25">
      <c r="A25">
        <v>24</v>
      </c>
      <c r="B25" t="s">
        <v>27</v>
      </c>
      <c r="C25" t="s">
        <v>93</v>
      </c>
    </row>
    <row r="26" spans="1:3" x14ac:dyDescent="0.25">
      <c r="A26">
        <v>25</v>
      </c>
      <c r="B26" t="s">
        <v>28</v>
      </c>
      <c r="C26" t="s">
        <v>94</v>
      </c>
    </row>
    <row r="27" spans="1:3" x14ac:dyDescent="0.25">
      <c r="A27">
        <v>26</v>
      </c>
      <c r="B27" t="s">
        <v>29</v>
      </c>
      <c r="C27" t="s">
        <v>94</v>
      </c>
    </row>
    <row r="28" spans="1:3" x14ac:dyDescent="0.25">
      <c r="A28">
        <v>27</v>
      </c>
      <c r="B28" t="s">
        <v>30</v>
      </c>
      <c r="C28" t="s">
        <v>94</v>
      </c>
    </row>
    <row r="29" spans="1:3" x14ac:dyDescent="0.25">
      <c r="A29">
        <v>28</v>
      </c>
      <c r="B29" t="s">
        <v>31</v>
      </c>
      <c r="C29" t="s">
        <v>94</v>
      </c>
    </row>
    <row r="30" spans="1:3" x14ac:dyDescent="0.25">
      <c r="A30">
        <v>29</v>
      </c>
      <c r="B30" t="s">
        <v>32</v>
      </c>
      <c r="C30" t="s">
        <v>95</v>
      </c>
    </row>
    <row r="31" spans="1:3" x14ac:dyDescent="0.25">
      <c r="A31">
        <v>30</v>
      </c>
      <c r="B31" t="s">
        <v>33</v>
      </c>
      <c r="C31" t="s">
        <v>95</v>
      </c>
    </row>
    <row r="32" spans="1:3" x14ac:dyDescent="0.25">
      <c r="A32">
        <v>31</v>
      </c>
      <c r="B32" t="s">
        <v>34</v>
      </c>
      <c r="C32" t="s">
        <v>95</v>
      </c>
    </row>
    <row r="33" spans="1:3" x14ac:dyDescent="0.25">
      <c r="A33">
        <v>32</v>
      </c>
      <c r="B33" t="s">
        <v>35</v>
      </c>
      <c r="C33" t="s">
        <v>95</v>
      </c>
    </row>
    <row r="34" spans="1:3" x14ac:dyDescent="0.25">
      <c r="A34">
        <v>33</v>
      </c>
      <c r="B34" t="s">
        <v>36</v>
      </c>
      <c r="C34" t="s">
        <v>96</v>
      </c>
    </row>
    <row r="35" spans="1:3" x14ac:dyDescent="0.25">
      <c r="A35">
        <v>34</v>
      </c>
      <c r="B35" t="s">
        <v>37</v>
      </c>
      <c r="C35" t="s">
        <v>96</v>
      </c>
    </row>
    <row r="36" spans="1:3" x14ac:dyDescent="0.25">
      <c r="A36">
        <v>35</v>
      </c>
      <c r="B36" t="s">
        <v>38</v>
      </c>
      <c r="C36" t="s">
        <v>96</v>
      </c>
    </row>
    <row r="37" spans="1:3" x14ac:dyDescent="0.25">
      <c r="A37">
        <v>36</v>
      </c>
      <c r="B37" t="s">
        <v>39</v>
      </c>
      <c r="C37" t="s">
        <v>96</v>
      </c>
    </row>
    <row r="38" spans="1:3" x14ac:dyDescent="0.25">
      <c r="A38">
        <v>37</v>
      </c>
      <c r="B38" t="s">
        <v>40</v>
      </c>
      <c r="C38" t="s">
        <v>97</v>
      </c>
    </row>
    <row r="39" spans="1:3" x14ac:dyDescent="0.25">
      <c r="A39">
        <v>38</v>
      </c>
      <c r="B39" t="s">
        <v>41</v>
      </c>
      <c r="C39" t="s">
        <v>97</v>
      </c>
    </row>
    <row r="40" spans="1:3" x14ac:dyDescent="0.25">
      <c r="A40">
        <v>39</v>
      </c>
      <c r="B40" t="s">
        <v>42</v>
      </c>
      <c r="C40" t="s">
        <v>97</v>
      </c>
    </row>
    <row r="41" spans="1:3" x14ac:dyDescent="0.25">
      <c r="A41">
        <v>40</v>
      </c>
      <c r="B41" t="s">
        <v>43</v>
      </c>
      <c r="C41" t="s">
        <v>97</v>
      </c>
    </row>
    <row r="42" spans="1:3" x14ac:dyDescent="0.25">
      <c r="A42">
        <v>41</v>
      </c>
      <c r="B42" t="s">
        <v>44</v>
      </c>
      <c r="C42" t="s">
        <v>98</v>
      </c>
    </row>
    <row r="43" spans="1:3" x14ac:dyDescent="0.25">
      <c r="A43">
        <v>42</v>
      </c>
      <c r="B43" t="s">
        <v>45</v>
      </c>
      <c r="C43" t="s">
        <v>98</v>
      </c>
    </row>
    <row r="44" spans="1:3" x14ac:dyDescent="0.25">
      <c r="A44">
        <v>43</v>
      </c>
      <c r="B44" t="s">
        <v>46</v>
      </c>
      <c r="C44" t="s">
        <v>98</v>
      </c>
    </row>
    <row r="45" spans="1:3" x14ac:dyDescent="0.25">
      <c r="A45">
        <v>44</v>
      </c>
      <c r="B45" t="s">
        <v>47</v>
      </c>
      <c r="C45" t="s">
        <v>98</v>
      </c>
    </row>
    <row r="46" spans="1:3" x14ac:dyDescent="0.25">
      <c r="A46">
        <v>45</v>
      </c>
      <c r="B46" t="s">
        <v>48</v>
      </c>
      <c r="C46" t="s">
        <v>99</v>
      </c>
    </row>
    <row r="47" spans="1:3" x14ac:dyDescent="0.25">
      <c r="A47">
        <v>46</v>
      </c>
      <c r="B47" t="s">
        <v>49</v>
      </c>
      <c r="C47" t="s">
        <v>99</v>
      </c>
    </row>
    <row r="48" spans="1:3" x14ac:dyDescent="0.25">
      <c r="A48">
        <v>47</v>
      </c>
      <c r="B48" t="s">
        <v>50</v>
      </c>
      <c r="C48" t="s">
        <v>99</v>
      </c>
    </row>
    <row r="49" spans="1:3" x14ac:dyDescent="0.25">
      <c r="A49">
        <v>48</v>
      </c>
      <c r="B49" t="s">
        <v>51</v>
      </c>
      <c r="C49" t="s">
        <v>99</v>
      </c>
    </row>
    <row r="50" spans="1:3" x14ac:dyDescent="0.25">
      <c r="A50">
        <v>49</v>
      </c>
      <c r="B50" t="s">
        <v>52</v>
      </c>
      <c r="C50" t="s">
        <v>100</v>
      </c>
    </row>
    <row r="51" spans="1:3" x14ac:dyDescent="0.25">
      <c r="A51">
        <v>50</v>
      </c>
      <c r="B51" t="s">
        <v>53</v>
      </c>
      <c r="C51" t="s">
        <v>100</v>
      </c>
    </row>
    <row r="52" spans="1:3" x14ac:dyDescent="0.25">
      <c r="A52">
        <v>51</v>
      </c>
      <c r="B52" t="s">
        <v>54</v>
      </c>
      <c r="C52" t="s">
        <v>100</v>
      </c>
    </row>
    <row r="53" spans="1:3" x14ac:dyDescent="0.25">
      <c r="A53">
        <v>52</v>
      </c>
      <c r="B53" t="s">
        <v>55</v>
      </c>
      <c r="C53" t="s">
        <v>100</v>
      </c>
    </row>
    <row r="54" spans="1:3" x14ac:dyDescent="0.25">
      <c r="A54">
        <v>53</v>
      </c>
      <c r="B54" t="s">
        <v>56</v>
      </c>
      <c r="C54" t="s">
        <v>101</v>
      </c>
    </row>
    <row r="55" spans="1:3" x14ac:dyDescent="0.25">
      <c r="A55">
        <v>54</v>
      </c>
      <c r="B55" t="s">
        <v>57</v>
      </c>
      <c r="C55" t="s">
        <v>101</v>
      </c>
    </row>
    <row r="56" spans="1:3" x14ac:dyDescent="0.25">
      <c r="A56">
        <v>55</v>
      </c>
      <c r="B56" t="s">
        <v>58</v>
      </c>
      <c r="C56" t="s">
        <v>101</v>
      </c>
    </row>
    <row r="57" spans="1:3" x14ac:dyDescent="0.25">
      <c r="A57">
        <v>56</v>
      </c>
      <c r="B57" t="s">
        <v>59</v>
      </c>
      <c r="C57" t="s">
        <v>101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2F260-8A4C-44CD-931F-BE028A17179D}">
  <sheetPr>
    <tabColor rgb="FF00B050"/>
  </sheetPr>
  <dimension ref="A3:BF215"/>
  <sheetViews>
    <sheetView workbookViewId="0">
      <selection activeCell="C52" sqref="C52"/>
    </sheetView>
  </sheetViews>
  <sheetFormatPr defaultRowHeight="15" x14ac:dyDescent="0.25"/>
  <cols>
    <col min="1" max="1" width="25" bestFit="1" customWidth="1"/>
    <col min="2" max="2" width="23.85546875" bestFit="1" customWidth="1"/>
    <col min="3" max="3" width="24.28515625" bestFit="1" customWidth="1"/>
    <col min="4" max="4" width="23" bestFit="1" customWidth="1"/>
    <col min="5" max="5" width="29.28515625" bestFit="1" customWidth="1"/>
    <col min="6" max="7" width="11.140625" bestFit="1" customWidth="1"/>
    <col min="8" max="8" width="12.7109375" bestFit="1" customWidth="1"/>
    <col min="9" max="9" width="11.140625" bestFit="1" customWidth="1"/>
    <col min="10" max="10" width="10.85546875" bestFit="1" customWidth="1"/>
    <col min="11" max="15" width="11.140625" bestFit="1" customWidth="1"/>
    <col min="16" max="16" width="12.7109375" bestFit="1" customWidth="1"/>
    <col min="17" max="19" width="11.140625" bestFit="1" customWidth="1"/>
    <col min="20" max="20" width="12.7109375" bestFit="1" customWidth="1"/>
    <col min="21" max="22" width="11.140625" bestFit="1" customWidth="1"/>
    <col min="23" max="24" width="12.7109375" bestFit="1" customWidth="1"/>
    <col min="25" max="25" width="11.85546875" bestFit="1" customWidth="1"/>
    <col min="26" max="37" width="12.7109375" bestFit="1" customWidth="1"/>
    <col min="38" max="38" width="11.140625" bestFit="1" customWidth="1"/>
    <col min="39" max="45" width="12.7109375" bestFit="1" customWidth="1"/>
    <col min="46" max="46" width="11.85546875" bestFit="1" customWidth="1"/>
    <col min="47" max="50" width="13.5703125" bestFit="1" customWidth="1"/>
    <col min="51" max="51" width="11.85546875" bestFit="1" customWidth="1"/>
    <col min="52" max="53" width="11.140625" bestFit="1" customWidth="1"/>
    <col min="54" max="54" width="11.85546875" bestFit="1" customWidth="1"/>
    <col min="55" max="57" width="12.7109375" bestFit="1" customWidth="1"/>
    <col min="58" max="58" width="13.85546875" bestFit="1" customWidth="1"/>
    <col min="59" max="112" width="24.28515625" bestFit="1" customWidth="1"/>
    <col min="113" max="113" width="23.5703125" bestFit="1" customWidth="1"/>
    <col min="114" max="115" width="29.28515625" bestFit="1" customWidth="1"/>
  </cols>
  <sheetData>
    <row r="3" spans="1:32" x14ac:dyDescent="0.25">
      <c r="B3" s="1" t="s">
        <v>83</v>
      </c>
    </row>
    <row r="4" spans="1:32" x14ac:dyDescent="0.25">
      <c r="B4" t="s">
        <v>88</v>
      </c>
      <c r="D4" t="s">
        <v>89</v>
      </c>
      <c r="F4" t="s">
        <v>90</v>
      </c>
      <c r="H4" t="s">
        <v>91</v>
      </c>
      <c r="J4" t="s">
        <v>92</v>
      </c>
      <c r="L4" t="s">
        <v>93</v>
      </c>
      <c r="N4" t="s">
        <v>94</v>
      </c>
      <c r="P4" t="s">
        <v>95</v>
      </c>
      <c r="R4" t="s">
        <v>96</v>
      </c>
      <c r="T4" t="s">
        <v>97</v>
      </c>
      <c r="V4" t="s">
        <v>98</v>
      </c>
      <c r="X4" t="s">
        <v>99</v>
      </c>
      <c r="Z4" t="s">
        <v>100</v>
      </c>
      <c r="AB4" t="s">
        <v>101</v>
      </c>
      <c r="AD4" t="s">
        <v>85</v>
      </c>
      <c r="AE4" t="s">
        <v>86</v>
      </c>
    </row>
    <row r="5" spans="1:32" x14ac:dyDescent="0.25">
      <c r="A5" s="1" t="s">
        <v>76</v>
      </c>
      <c r="B5" t="s">
        <v>84</v>
      </c>
      <c r="C5" t="s">
        <v>87</v>
      </c>
      <c r="D5" t="s">
        <v>84</v>
      </c>
      <c r="E5" t="s">
        <v>87</v>
      </c>
      <c r="F5" t="s">
        <v>84</v>
      </c>
      <c r="G5" t="s">
        <v>87</v>
      </c>
      <c r="H5" t="s">
        <v>84</v>
      </c>
      <c r="I5" t="s">
        <v>87</v>
      </c>
      <c r="J5" t="s">
        <v>84</v>
      </c>
      <c r="K5" t="s">
        <v>87</v>
      </c>
      <c r="L5" t="s">
        <v>84</v>
      </c>
      <c r="M5" t="s">
        <v>87</v>
      </c>
      <c r="N5" t="s">
        <v>84</v>
      </c>
      <c r="O5" t="s">
        <v>87</v>
      </c>
      <c r="P5" t="s">
        <v>84</v>
      </c>
      <c r="Q5" t="s">
        <v>87</v>
      </c>
      <c r="R5" t="s">
        <v>84</v>
      </c>
      <c r="S5" t="s">
        <v>87</v>
      </c>
      <c r="T5" t="s">
        <v>84</v>
      </c>
      <c r="U5" t="s">
        <v>87</v>
      </c>
      <c r="V5" t="s">
        <v>84</v>
      </c>
      <c r="W5" t="s">
        <v>87</v>
      </c>
      <c r="X5" t="s">
        <v>84</v>
      </c>
      <c r="Y5" t="s">
        <v>87</v>
      </c>
      <c r="Z5" t="s">
        <v>84</v>
      </c>
      <c r="AA5" t="s">
        <v>87</v>
      </c>
      <c r="AB5" t="s">
        <v>84</v>
      </c>
      <c r="AC5" t="s">
        <v>87</v>
      </c>
    </row>
    <row r="6" spans="1:32" x14ac:dyDescent="0.25">
      <c r="A6" s="2" t="s">
        <v>62</v>
      </c>
      <c r="B6" s="7">
        <v>-520855</v>
      </c>
      <c r="C6" s="7">
        <v>18046580</v>
      </c>
      <c r="D6" s="7">
        <v>2615780</v>
      </c>
      <c r="E6" s="7">
        <v>31893702</v>
      </c>
      <c r="F6" s="7">
        <v>2244817</v>
      </c>
      <c r="G6" s="7">
        <v>35315717</v>
      </c>
      <c r="H6" s="7">
        <v>2648477</v>
      </c>
      <c r="I6" s="7">
        <v>36916967</v>
      </c>
      <c r="J6" s="7">
        <v>3837682</v>
      </c>
      <c r="K6" s="7">
        <v>37818194</v>
      </c>
      <c r="L6" s="7">
        <v>2924508</v>
      </c>
      <c r="M6" s="7">
        <v>40426454</v>
      </c>
      <c r="N6" s="7">
        <v>7844653</v>
      </c>
      <c r="O6" s="7">
        <v>40815767</v>
      </c>
      <c r="P6" s="7">
        <v>6976431</v>
      </c>
      <c r="Q6" s="7">
        <v>39849613</v>
      </c>
      <c r="R6" s="7">
        <v>6149732</v>
      </c>
      <c r="S6" s="7">
        <v>41475860</v>
      </c>
      <c r="T6" s="7">
        <v>5503904</v>
      </c>
      <c r="U6" s="7">
        <v>44537997</v>
      </c>
      <c r="V6" s="7">
        <v>6558789</v>
      </c>
      <c r="W6" s="7">
        <v>47126335</v>
      </c>
      <c r="X6" s="7">
        <v>-7872808</v>
      </c>
      <c r="Y6" s="7">
        <v>17117507</v>
      </c>
      <c r="Z6" s="7">
        <v>-2080371</v>
      </c>
      <c r="AA6" s="7">
        <v>29931155</v>
      </c>
      <c r="AB6" s="7">
        <v>4078759</v>
      </c>
      <c r="AC6" s="7">
        <v>50669779</v>
      </c>
      <c r="AD6" s="7">
        <v>40909498</v>
      </c>
      <c r="AE6" s="7">
        <v>511941627</v>
      </c>
    </row>
    <row r="7" spans="1:32" x14ac:dyDescent="0.25">
      <c r="A7" s="2" t="s">
        <v>77</v>
      </c>
      <c r="B7" s="7">
        <v>-520855</v>
      </c>
      <c r="C7" s="7">
        <v>18046580</v>
      </c>
      <c r="D7" s="7">
        <v>2615780</v>
      </c>
      <c r="E7" s="7">
        <v>31893702</v>
      </c>
      <c r="F7" s="7">
        <v>2244817</v>
      </c>
      <c r="G7" s="7">
        <v>35315717</v>
      </c>
      <c r="H7" s="7">
        <v>2648477</v>
      </c>
      <c r="I7" s="7">
        <v>36916967</v>
      </c>
      <c r="J7" s="7">
        <v>3837682</v>
      </c>
      <c r="K7" s="7">
        <v>37818194</v>
      </c>
      <c r="L7" s="7">
        <v>2924508</v>
      </c>
      <c r="M7" s="7">
        <v>40426454</v>
      </c>
      <c r="N7" s="7">
        <v>7844653</v>
      </c>
      <c r="O7" s="7">
        <v>40815767</v>
      </c>
      <c r="P7" s="7">
        <v>6976431</v>
      </c>
      <c r="Q7" s="7">
        <v>39849613</v>
      </c>
      <c r="R7" s="7">
        <v>6149732</v>
      </c>
      <c r="S7" s="7">
        <v>41475860</v>
      </c>
      <c r="T7" s="7">
        <v>5503904</v>
      </c>
      <c r="U7" s="7">
        <v>44537997</v>
      </c>
      <c r="V7" s="7">
        <v>6558789</v>
      </c>
      <c r="W7" s="7">
        <v>47126335</v>
      </c>
      <c r="X7" s="7">
        <v>-7872808</v>
      </c>
      <c r="Y7" s="7">
        <v>17117507</v>
      </c>
      <c r="Z7" s="7">
        <v>-2080371</v>
      </c>
      <c r="AA7" s="7">
        <v>29931155</v>
      </c>
      <c r="AB7" s="7">
        <v>4078759</v>
      </c>
      <c r="AC7" s="7">
        <v>50669779</v>
      </c>
      <c r="AD7" s="7">
        <v>40909498</v>
      </c>
      <c r="AE7" s="7">
        <v>511941627</v>
      </c>
    </row>
    <row r="16" spans="1:32" x14ac:dyDescent="0.25">
      <c r="AF16" s="6"/>
    </row>
    <row r="20" spans="1:58" x14ac:dyDescent="0.25">
      <c r="A20" s="1" t="s">
        <v>84</v>
      </c>
      <c r="B20" s="1" t="s">
        <v>83</v>
      </c>
    </row>
    <row r="21" spans="1:58" x14ac:dyDescent="0.25">
      <c r="A21" s="1" t="s">
        <v>76</v>
      </c>
      <c r="B21" t="s">
        <v>3</v>
      </c>
      <c r="C21" t="s">
        <v>5</v>
      </c>
      <c r="D21" t="s">
        <v>6</v>
      </c>
      <c r="E21" t="s">
        <v>7</v>
      </c>
      <c r="F21" t="s">
        <v>8</v>
      </c>
      <c r="G21" t="s">
        <v>9</v>
      </c>
      <c r="H21" t="s">
        <v>10</v>
      </c>
      <c r="I21" t="s">
        <v>11</v>
      </c>
      <c r="J21" t="s">
        <v>12</v>
      </c>
      <c r="K21" t="s">
        <v>13</v>
      </c>
      <c r="L21" t="s">
        <v>14</v>
      </c>
      <c r="M21" t="s">
        <v>15</v>
      </c>
      <c r="N21" t="s">
        <v>16</v>
      </c>
      <c r="O21" t="s">
        <v>17</v>
      </c>
      <c r="P21" t="s">
        <v>18</v>
      </c>
      <c r="Q21" t="s">
        <v>19</v>
      </c>
      <c r="R21" t="s">
        <v>20</v>
      </c>
      <c r="S21" t="s">
        <v>21</v>
      </c>
      <c r="T21" t="s">
        <v>22</v>
      </c>
      <c r="U21" t="s">
        <v>23</v>
      </c>
      <c r="V21" t="s">
        <v>24</v>
      </c>
      <c r="W21" t="s">
        <v>25</v>
      </c>
      <c r="X21" t="s">
        <v>26</v>
      </c>
      <c r="Y21" t="s">
        <v>27</v>
      </c>
      <c r="Z21" t="s">
        <v>28</v>
      </c>
      <c r="AA21" t="s">
        <v>29</v>
      </c>
      <c r="AB21" t="s">
        <v>30</v>
      </c>
      <c r="AC21" t="s">
        <v>31</v>
      </c>
      <c r="AD21" t="s">
        <v>32</v>
      </c>
      <c r="AE21" t="s">
        <v>33</v>
      </c>
      <c r="AF21" t="s">
        <v>34</v>
      </c>
      <c r="AG21" t="s">
        <v>35</v>
      </c>
      <c r="AH21" t="s">
        <v>36</v>
      </c>
      <c r="AI21" t="s">
        <v>37</v>
      </c>
      <c r="AJ21" t="s">
        <v>38</v>
      </c>
      <c r="AK21" t="s">
        <v>39</v>
      </c>
      <c r="AL21" t="s">
        <v>40</v>
      </c>
      <c r="AM21" t="s">
        <v>41</v>
      </c>
      <c r="AN21" t="s">
        <v>42</v>
      </c>
      <c r="AO21" t="s">
        <v>43</v>
      </c>
      <c r="AP21" t="s">
        <v>44</v>
      </c>
      <c r="AQ21" t="s">
        <v>45</v>
      </c>
      <c r="AR21" t="s">
        <v>46</v>
      </c>
      <c r="AS21" t="s">
        <v>47</v>
      </c>
      <c r="AT21" t="s">
        <v>48</v>
      </c>
      <c r="AU21" t="s">
        <v>49</v>
      </c>
      <c r="AV21" t="s">
        <v>50</v>
      </c>
      <c r="AW21" t="s">
        <v>51</v>
      </c>
      <c r="AX21" t="s">
        <v>52</v>
      </c>
      <c r="AY21" t="s">
        <v>53</v>
      </c>
      <c r="AZ21" t="s">
        <v>54</v>
      </c>
      <c r="BA21" t="s">
        <v>55</v>
      </c>
      <c r="BB21" t="s">
        <v>56</v>
      </c>
      <c r="BC21" t="s">
        <v>57</v>
      </c>
      <c r="BD21" t="s">
        <v>58</v>
      </c>
      <c r="BE21" t="s">
        <v>59</v>
      </c>
      <c r="BF21" t="s">
        <v>77</v>
      </c>
    </row>
    <row r="22" spans="1:58" x14ac:dyDescent="0.25">
      <c r="A22" s="2" t="s">
        <v>62</v>
      </c>
      <c r="B22" s="4">
        <v>-337084</v>
      </c>
      <c r="C22" s="4">
        <v>-159039</v>
      </c>
      <c r="D22" s="4">
        <v>67033</v>
      </c>
      <c r="E22" s="4">
        <v>-91765</v>
      </c>
      <c r="F22" s="4">
        <v>107161</v>
      </c>
      <c r="G22" s="4">
        <v>920561</v>
      </c>
      <c r="H22" s="4">
        <v>1197653</v>
      </c>
      <c r="I22" s="4">
        <v>390405</v>
      </c>
      <c r="J22" s="4">
        <v>-74431</v>
      </c>
      <c r="K22" s="4">
        <v>633968</v>
      </c>
      <c r="L22" s="4">
        <v>866109</v>
      </c>
      <c r="M22" s="4">
        <v>819171</v>
      </c>
      <c r="N22" s="4">
        <v>381641</v>
      </c>
      <c r="O22" s="4">
        <v>337484</v>
      </c>
      <c r="P22" s="4">
        <v>1461050</v>
      </c>
      <c r="Q22" s="4">
        <v>468302</v>
      </c>
      <c r="R22" s="4">
        <v>322621</v>
      </c>
      <c r="S22" s="4">
        <v>948977</v>
      </c>
      <c r="T22" s="4">
        <v>1696529</v>
      </c>
      <c r="U22" s="4">
        <v>869555</v>
      </c>
      <c r="V22" s="4">
        <v>671904</v>
      </c>
      <c r="W22" s="4">
        <v>1615666</v>
      </c>
      <c r="X22" s="4">
        <v>1409299</v>
      </c>
      <c r="Y22" s="4">
        <v>-772361</v>
      </c>
      <c r="Z22" s="4">
        <v>1404428</v>
      </c>
      <c r="AA22" s="4">
        <v>2496242</v>
      </c>
      <c r="AB22" s="4">
        <v>2222326</v>
      </c>
      <c r="AC22" s="4">
        <v>1721657</v>
      </c>
      <c r="AD22" s="4">
        <v>1544323</v>
      </c>
      <c r="AE22" s="4">
        <v>2423691</v>
      </c>
      <c r="AF22" s="4">
        <v>1979077</v>
      </c>
      <c r="AG22" s="4">
        <v>1029340</v>
      </c>
      <c r="AH22" s="4">
        <v>1067917</v>
      </c>
      <c r="AI22" s="4">
        <v>2036048</v>
      </c>
      <c r="AJ22" s="4">
        <v>1847431</v>
      </c>
      <c r="AK22" s="4">
        <v>1198336</v>
      </c>
      <c r="AL22" s="4">
        <v>912490</v>
      </c>
      <c r="AM22" s="4">
        <v>1742062</v>
      </c>
      <c r="AN22" s="4">
        <v>1663858</v>
      </c>
      <c r="AO22" s="4">
        <v>1185494</v>
      </c>
      <c r="AP22" s="4">
        <v>1019481</v>
      </c>
      <c r="AQ22" s="4">
        <v>2080770</v>
      </c>
      <c r="AR22" s="4">
        <v>2062770</v>
      </c>
      <c r="AS22" s="4">
        <v>1395768</v>
      </c>
      <c r="AT22" s="4">
        <v>-326044</v>
      </c>
      <c r="AU22" s="4">
        <v>-3517502</v>
      </c>
      <c r="AV22" s="4">
        <v>-2292385</v>
      </c>
      <c r="AW22" s="4">
        <v>-1736877</v>
      </c>
      <c r="AX22" s="4">
        <v>-2494911</v>
      </c>
      <c r="AY22" s="4">
        <v>-534558</v>
      </c>
      <c r="AZ22" s="4">
        <v>552729</v>
      </c>
      <c r="BA22" s="4">
        <v>396369</v>
      </c>
      <c r="BB22" s="4">
        <v>-684114</v>
      </c>
      <c r="BC22" s="4">
        <v>1654695</v>
      </c>
      <c r="BD22" s="4">
        <v>1587727</v>
      </c>
      <c r="BE22" s="4">
        <v>1520451</v>
      </c>
      <c r="BF22" s="4">
        <v>40909498</v>
      </c>
    </row>
    <row r="23" spans="1:58" x14ac:dyDescent="0.25">
      <c r="A23" s="2" t="s">
        <v>77</v>
      </c>
      <c r="B23" s="4">
        <v>-337084</v>
      </c>
      <c r="C23" s="4">
        <v>-159039</v>
      </c>
      <c r="D23" s="4">
        <v>67033</v>
      </c>
      <c r="E23" s="4">
        <v>-91765</v>
      </c>
      <c r="F23" s="4">
        <v>107161</v>
      </c>
      <c r="G23" s="4">
        <v>920561</v>
      </c>
      <c r="H23" s="4">
        <v>1197653</v>
      </c>
      <c r="I23" s="4">
        <v>390405</v>
      </c>
      <c r="J23" s="4">
        <v>-74431</v>
      </c>
      <c r="K23" s="4">
        <v>633968</v>
      </c>
      <c r="L23" s="4">
        <v>866109</v>
      </c>
      <c r="M23" s="4">
        <v>819171</v>
      </c>
      <c r="N23" s="4">
        <v>381641</v>
      </c>
      <c r="O23" s="4">
        <v>337484</v>
      </c>
      <c r="P23" s="4">
        <v>1461050</v>
      </c>
      <c r="Q23" s="4">
        <v>468302</v>
      </c>
      <c r="R23" s="4">
        <v>322621</v>
      </c>
      <c r="S23" s="4">
        <v>948977</v>
      </c>
      <c r="T23" s="4">
        <v>1696529</v>
      </c>
      <c r="U23" s="4">
        <v>869555</v>
      </c>
      <c r="V23" s="4">
        <v>671904</v>
      </c>
      <c r="W23" s="4">
        <v>1615666</v>
      </c>
      <c r="X23" s="4">
        <v>1409299</v>
      </c>
      <c r="Y23" s="4">
        <v>-772361</v>
      </c>
      <c r="Z23" s="4">
        <v>1404428</v>
      </c>
      <c r="AA23" s="4">
        <v>2496242</v>
      </c>
      <c r="AB23" s="4">
        <v>2222326</v>
      </c>
      <c r="AC23" s="4">
        <v>1721657</v>
      </c>
      <c r="AD23" s="4">
        <v>1544323</v>
      </c>
      <c r="AE23" s="4">
        <v>2423691</v>
      </c>
      <c r="AF23" s="4">
        <v>1979077</v>
      </c>
      <c r="AG23" s="4">
        <v>1029340</v>
      </c>
      <c r="AH23" s="4">
        <v>1067917</v>
      </c>
      <c r="AI23" s="4">
        <v>2036048</v>
      </c>
      <c r="AJ23" s="4">
        <v>1847431</v>
      </c>
      <c r="AK23" s="4">
        <v>1198336</v>
      </c>
      <c r="AL23" s="4">
        <v>912490</v>
      </c>
      <c r="AM23" s="4">
        <v>1742062</v>
      </c>
      <c r="AN23" s="4">
        <v>1663858</v>
      </c>
      <c r="AO23" s="4">
        <v>1185494</v>
      </c>
      <c r="AP23" s="4">
        <v>1019481</v>
      </c>
      <c r="AQ23" s="4">
        <v>2080770</v>
      </c>
      <c r="AR23" s="4">
        <v>2062770</v>
      </c>
      <c r="AS23" s="4">
        <v>1395768</v>
      </c>
      <c r="AT23" s="4">
        <v>-326044</v>
      </c>
      <c r="AU23" s="4">
        <v>-3517502</v>
      </c>
      <c r="AV23" s="4">
        <v>-2292385</v>
      </c>
      <c r="AW23" s="4">
        <v>-1736877</v>
      </c>
      <c r="AX23" s="4">
        <v>-2494911</v>
      </c>
      <c r="AY23" s="4">
        <v>-534558</v>
      </c>
      <c r="AZ23" s="4">
        <v>552729</v>
      </c>
      <c r="BA23" s="4">
        <v>396369</v>
      </c>
      <c r="BB23" s="4">
        <v>-684114</v>
      </c>
      <c r="BC23" s="4">
        <v>1654695</v>
      </c>
      <c r="BD23" s="4">
        <v>1587727</v>
      </c>
      <c r="BE23" s="4">
        <v>1520451</v>
      </c>
      <c r="BF23" s="4">
        <v>40909498</v>
      </c>
    </row>
    <row r="73" spans="1:3" x14ac:dyDescent="0.25">
      <c r="A73" s="1" t="s">
        <v>76</v>
      </c>
      <c r="B73" t="s">
        <v>78</v>
      </c>
      <c r="C73" t="s">
        <v>84</v>
      </c>
    </row>
    <row r="74" spans="1:3" x14ac:dyDescent="0.25">
      <c r="A74" s="2" t="s">
        <v>3</v>
      </c>
      <c r="B74" s="7">
        <v>45.366666666666667</v>
      </c>
      <c r="C74" s="7">
        <v>-337084</v>
      </c>
    </row>
    <row r="75" spans="1:3" x14ac:dyDescent="0.25">
      <c r="A75" s="2" t="s">
        <v>5</v>
      </c>
      <c r="B75" s="7">
        <v>62.44</v>
      </c>
      <c r="C75" s="7">
        <v>-159039</v>
      </c>
    </row>
    <row r="76" spans="1:3" x14ac:dyDescent="0.25">
      <c r="A76" s="2" t="s">
        <v>6</v>
      </c>
      <c r="B76" s="7">
        <v>70.006666666666661</v>
      </c>
      <c r="C76" s="7">
        <v>67033</v>
      </c>
    </row>
    <row r="77" spans="1:3" x14ac:dyDescent="0.25">
      <c r="A77" s="2" t="s">
        <v>7</v>
      </c>
      <c r="B77" s="7">
        <v>77.88</v>
      </c>
      <c r="C77" s="7">
        <v>-91765</v>
      </c>
    </row>
    <row r="78" spans="1:3" x14ac:dyDescent="0.25">
      <c r="A78" s="2" t="s">
        <v>8</v>
      </c>
      <c r="B78" s="7">
        <v>78.77</v>
      </c>
      <c r="C78" s="7">
        <v>107161</v>
      </c>
    </row>
    <row r="79" spans="1:3" x14ac:dyDescent="0.25">
      <c r="A79" s="2" t="s">
        <v>9</v>
      </c>
      <c r="B79" s="7">
        <v>78.583333333333329</v>
      </c>
      <c r="C79" s="7">
        <v>920561</v>
      </c>
    </row>
    <row r="80" spans="1:3" x14ac:dyDescent="0.25">
      <c r="A80" s="2" t="s">
        <v>10</v>
      </c>
      <c r="B80" s="7">
        <v>76.946666666666673</v>
      </c>
      <c r="C80" s="7">
        <v>1197653</v>
      </c>
    </row>
    <row r="81" spans="1:3" x14ac:dyDescent="0.25">
      <c r="A81" s="2" t="s">
        <v>11</v>
      </c>
      <c r="B81" s="7">
        <v>85.64</v>
      </c>
      <c r="C81" s="7">
        <v>390405</v>
      </c>
    </row>
    <row r="82" spans="1:3" x14ac:dyDescent="0.25">
      <c r="A82" s="2" t="s">
        <v>12</v>
      </c>
      <c r="B82" s="7">
        <v>98.626666666666665</v>
      </c>
      <c r="C82" s="7">
        <v>-74431</v>
      </c>
    </row>
    <row r="83" spans="1:3" x14ac:dyDescent="0.25">
      <c r="A83" s="2" t="s">
        <v>13</v>
      </c>
      <c r="B83" s="7">
        <v>104.01666666666667</v>
      </c>
      <c r="C83" s="7">
        <v>633968</v>
      </c>
    </row>
    <row r="84" spans="1:3" x14ac:dyDescent="0.25">
      <c r="A84" s="2" t="s">
        <v>14</v>
      </c>
      <c r="B84" s="7">
        <v>87.903333333333336</v>
      </c>
      <c r="C84" s="7">
        <v>866109</v>
      </c>
    </row>
    <row r="85" spans="1:3" x14ac:dyDescent="0.25">
      <c r="A85" s="2" t="s">
        <v>15</v>
      </c>
      <c r="B85" s="7">
        <v>97.46</v>
      </c>
      <c r="C85" s="7">
        <v>819171</v>
      </c>
    </row>
    <row r="86" spans="1:3" x14ac:dyDescent="0.25">
      <c r="A86" s="2" t="s">
        <v>16</v>
      </c>
      <c r="B86" s="7">
        <v>102.85666666666667</v>
      </c>
      <c r="C86" s="7">
        <v>381641</v>
      </c>
    </row>
    <row r="87" spans="1:3" x14ac:dyDescent="0.25">
      <c r="A87" s="2" t="s">
        <v>17</v>
      </c>
      <c r="B87" s="7">
        <v>92.12</v>
      </c>
      <c r="C87" s="7">
        <v>337484</v>
      </c>
    </row>
    <row r="88" spans="1:3" x14ac:dyDescent="0.25">
      <c r="A88" s="2" t="s">
        <v>18</v>
      </c>
      <c r="B88" s="7">
        <v>92.24</v>
      </c>
      <c r="C88" s="7">
        <v>1461050</v>
      </c>
    </row>
    <row r="89" spans="1:3" x14ac:dyDescent="0.25">
      <c r="A89" s="2" t="s">
        <v>19</v>
      </c>
      <c r="B89" s="7">
        <v>88.99</v>
      </c>
      <c r="C89" s="7">
        <v>468302</v>
      </c>
    </row>
    <row r="90" spans="1:3" x14ac:dyDescent="0.25">
      <c r="A90" s="2" t="s">
        <v>20</v>
      </c>
      <c r="B90" s="7">
        <v>95.59</v>
      </c>
      <c r="C90" s="7">
        <v>322621</v>
      </c>
    </row>
    <row r="91" spans="1:3" x14ac:dyDescent="0.25">
      <c r="A91" s="2" t="s">
        <v>21</v>
      </c>
      <c r="B91" s="7">
        <v>93.99666666666667</v>
      </c>
      <c r="C91" s="7">
        <v>948977</v>
      </c>
    </row>
    <row r="92" spans="1:3" x14ac:dyDescent="0.25">
      <c r="A92" s="2" t="s">
        <v>22</v>
      </c>
      <c r="B92" s="7">
        <v>105.00333333333333</v>
      </c>
      <c r="C92" s="7">
        <v>1696529</v>
      </c>
    </row>
    <row r="93" spans="1:3" x14ac:dyDescent="0.25">
      <c r="A93" s="2" t="s">
        <v>23</v>
      </c>
      <c r="B93" s="7">
        <v>95.84</v>
      </c>
      <c r="C93" s="7">
        <v>869555</v>
      </c>
    </row>
    <row r="94" spans="1:3" x14ac:dyDescent="0.25">
      <c r="A94" s="2" t="s">
        <v>24</v>
      </c>
      <c r="B94" s="7">
        <v>100.55333333333333</v>
      </c>
      <c r="C94" s="7">
        <v>671904</v>
      </c>
    </row>
    <row r="95" spans="1:3" x14ac:dyDescent="0.25">
      <c r="A95" s="2" t="s">
        <v>25</v>
      </c>
      <c r="B95" s="7">
        <v>102.60666666666667</v>
      </c>
      <c r="C95" s="7">
        <v>1615666</v>
      </c>
    </row>
    <row r="96" spans="1:3" x14ac:dyDescent="0.25">
      <c r="A96" s="2" t="s">
        <v>26</v>
      </c>
      <c r="B96" s="7">
        <v>95.096666666666664</v>
      </c>
      <c r="C96" s="7">
        <v>1409299</v>
      </c>
    </row>
    <row r="97" spans="1:3" x14ac:dyDescent="0.25">
      <c r="A97" s="2" t="s">
        <v>27</v>
      </c>
      <c r="B97" s="7">
        <v>66.653333333333336</v>
      </c>
      <c r="C97" s="7">
        <v>-772361</v>
      </c>
    </row>
    <row r="98" spans="1:3" x14ac:dyDescent="0.25">
      <c r="A98" s="2" t="s">
        <v>28</v>
      </c>
      <c r="B98" s="7">
        <v>48.533333333333331</v>
      </c>
      <c r="C98" s="7">
        <v>1404428</v>
      </c>
    </row>
    <row r="99" spans="1:3" x14ac:dyDescent="0.25">
      <c r="A99" s="2" t="s">
        <v>29</v>
      </c>
      <c r="B99" s="7">
        <v>59.8</v>
      </c>
      <c r="C99" s="7">
        <v>2496242</v>
      </c>
    </row>
    <row r="100" spans="1:3" x14ac:dyDescent="0.25">
      <c r="A100" s="2" t="s">
        <v>30</v>
      </c>
      <c r="B100" s="7">
        <v>47.13666666666667</v>
      </c>
      <c r="C100" s="7">
        <v>2222326</v>
      </c>
    </row>
    <row r="101" spans="1:3" x14ac:dyDescent="0.25">
      <c r="A101" s="2" t="s">
        <v>31</v>
      </c>
      <c r="B101" s="7">
        <v>41.76</v>
      </c>
      <c r="C101" s="7">
        <v>1721657</v>
      </c>
    </row>
    <row r="102" spans="1:3" x14ac:dyDescent="0.25">
      <c r="A102" s="2" t="s">
        <v>32</v>
      </c>
      <c r="B102" s="7">
        <v>35.236666666666665</v>
      </c>
      <c r="C102" s="7">
        <v>1544323</v>
      </c>
    </row>
    <row r="103" spans="1:3" x14ac:dyDescent="0.25">
      <c r="A103" s="2" t="s">
        <v>33</v>
      </c>
      <c r="B103" s="7">
        <v>47.783333333333331</v>
      </c>
      <c r="C103" s="7">
        <v>2423691</v>
      </c>
    </row>
    <row r="104" spans="1:3" x14ac:dyDescent="0.25">
      <c r="A104" s="2" t="s">
        <v>34</v>
      </c>
      <c r="B104" s="7">
        <v>44.846666666666671</v>
      </c>
      <c r="C104" s="7">
        <v>1979077</v>
      </c>
    </row>
    <row r="105" spans="1:3" x14ac:dyDescent="0.25">
      <c r="A105" s="2" t="s">
        <v>35</v>
      </c>
      <c r="B105" s="7">
        <v>50.006666666666668</v>
      </c>
      <c r="C105" s="7">
        <v>1029340</v>
      </c>
    </row>
    <row r="106" spans="1:3" x14ac:dyDescent="0.25">
      <c r="A106" s="2" t="s">
        <v>36</v>
      </c>
      <c r="B106" s="7">
        <v>52.473333333333336</v>
      </c>
      <c r="C106" s="7">
        <v>1067917</v>
      </c>
    </row>
    <row r="107" spans="1:3" x14ac:dyDescent="0.25">
      <c r="A107" s="2" t="s">
        <v>37</v>
      </c>
      <c r="B107" s="7">
        <v>47.856666666666669</v>
      </c>
      <c r="C107" s="7">
        <v>2036048</v>
      </c>
    </row>
    <row r="108" spans="1:3" x14ac:dyDescent="0.25">
      <c r="A108" s="2" t="s">
        <v>38</v>
      </c>
      <c r="B108" s="7">
        <v>49.69</v>
      </c>
      <c r="C108" s="7">
        <v>1847431</v>
      </c>
    </row>
    <row r="109" spans="1:3" x14ac:dyDescent="0.25">
      <c r="A109" s="2" t="s">
        <v>39</v>
      </c>
      <c r="B109" s="7">
        <v>57.4</v>
      </c>
      <c r="C109" s="7">
        <v>1198336</v>
      </c>
    </row>
    <row r="110" spans="1:3" x14ac:dyDescent="0.25">
      <c r="A110" s="2" t="s">
        <v>40</v>
      </c>
      <c r="B110" s="7">
        <v>63.77</v>
      </c>
      <c r="C110" s="7">
        <v>912490</v>
      </c>
    </row>
    <row r="111" spans="1:3" x14ac:dyDescent="0.25">
      <c r="A111" s="2" t="s">
        <v>41</v>
      </c>
      <c r="B111" s="7">
        <v>69.92</v>
      </c>
      <c r="C111" s="7">
        <v>1742062</v>
      </c>
    </row>
    <row r="112" spans="1:3" x14ac:dyDescent="0.25">
      <c r="A112" s="2" t="s">
        <v>42</v>
      </c>
      <c r="B112" s="7">
        <v>70.785633333333337</v>
      </c>
      <c r="C112" s="7">
        <v>1663858</v>
      </c>
    </row>
    <row r="113" spans="1:3" x14ac:dyDescent="0.25">
      <c r="A113" s="2" t="s">
        <v>43</v>
      </c>
      <c r="B113" s="7">
        <v>53.883333333333333</v>
      </c>
      <c r="C113" s="7">
        <v>1185494</v>
      </c>
    </row>
    <row r="114" spans="1:3" x14ac:dyDescent="0.25">
      <c r="A114" s="2" t="s">
        <v>44</v>
      </c>
      <c r="B114" s="7">
        <v>57.05</v>
      </c>
      <c r="C114" s="7">
        <v>1019481</v>
      </c>
    </row>
    <row r="115" spans="1:3" x14ac:dyDescent="0.25">
      <c r="A115" s="2" t="s">
        <v>45</v>
      </c>
      <c r="B115" s="7">
        <v>58.956699999999998</v>
      </c>
      <c r="C115" s="7">
        <v>2080770</v>
      </c>
    </row>
    <row r="116" spans="1:3" x14ac:dyDescent="0.25">
      <c r="A116" s="2" t="s">
        <v>46</v>
      </c>
      <c r="B116" s="7">
        <v>55.916666666666664</v>
      </c>
      <c r="C116" s="7">
        <v>2062770</v>
      </c>
    </row>
    <row r="117" spans="1:3" x14ac:dyDescent="0.25">
      <c r="A117" s="2" t="s">
        <v>47</v>
      </c>
      <c r="B117" s="7">
        <v>56.807600000000001</v>
      </c>
      <c r="C117" s="7">
        <v>1395768</v>
      </c>
    </row>
    <row r="118" spans="1:3" x14ac:dyDescent="0.25">
      <c r="A118" s="2" t="s">
        <v>48</v>
      </c>
      <c r="B118" s="7">
        <v>38.93333333333333</v>
      </c>
      <c r="C118" s="7">
        <v>-326044</v>
      </c>
    </row>
    <row r="119" spans="1:3" x14ac:dyDescent="0.25">
      <c r="A119" s="2" t="s">
        <v>49</v>
      </c>
      <c r="B119" s="7">
        <v>31.200000000000003</v>
      </c>
      <c r="C119" s="7">
        <v>-3517502</v>
      </c>
    </row>
    <row r="120" spans="1:3" x14ac:dyDescent="0.25">
      <c r="A120" s="2" t="s">
        <v>50</v>
      </c>
      <c r="B120" s="7">
        <v>41.033333333333331</v>
      </c>
      <c r="C120" s="7">
        <v>-2292385</v>
      </c>
    </row>
    <row r="121" spans="1:3" x14ac:dyDescent="0.25">
      <c r="A121" s="2" t="s">
        <v>51</v>
      </c>
      <c r="B121" s="7">
        <v>43.216666666666669</v>
      </c>
      <c r="C121" s="7">
        <v>-1736877</v>
      </c>
    </row>
    <row r="122" spans="1:3" x14ac:dyDescent="0.25">
      <c r="A122" s="2" t="s">
        <v>52</v>
      </c>
      <c r="B122" s="7">
        <v>57.62</v>
      </c>
      <c r="C122" s="7">
        <v>-2494911</v>
      </c>
    </row>
    <row r="123" spans="1:3" x14ac:dyDescent="0.25">
      <c r="A123" s="2" t="s">
        <v>53</v>
      </c>
      <c r="B123" s="7">
        <v>67.993333333333339</v>
      </c>
      <c r="C123" s="7">
        <v>-534558</v>
      </c>
    </row>
    <row r="124" spans="1:3" x14ac:dyDescent="0.25">
      <c r="A124" s="2" t="s">
        <v>54</v>
      </c>
      <c r="B124" s="7">
        <v>72.493333333333339</v>
      </c>
      <c r="C124" s="7">
        <v>552729</v>
      </c>
    </row>
    <row r="125" spans="1:3" x14ac:dyDescent="0.25">
      <c r="A125" s="2" t="s">
        <v>55</v>
      </c>
      <c r="B125" s="7">
        <v>74.17</v>
      </c>
      <c r="C125" s="7">
        <v>396369</v>
      </c>
    </row>
    <row r="126" spans="1:3" x14ac:dyDescent="0.25">
      <c r="A126" s="2" t="s">
        <v>56</v>
      </c>
      <c r="B126" s="7">
        <v>92.836666666666659</v>
      </c>
      <c r="C126" s="7">
        <v>-684114</v>
      </c>
    </row>
    <row r="127" spans="1:3" x14ac:dyDescent="0.25">
      <c r="A127" s="2" t="s">
        <v>57</v>
      </c>
      <c r="B127" s="7">
        <v>105.98333333333333</v>
      </c>
      <c r="C127" s="7">
        <v>1654695</v>
      </c>
    </row>
    <row r="128" spans="1:3" x14ac:dyDescent="0.25">
      <c r="A128" s="2" t="s">
        <v>58</v>
      </c>
      <c r="B128" s="7">
        <v>88.166666666666671</v>
      </c>
      <c r="C128" s="7">
        <v>1587727</v>
      </c>
    </row>
    <row r="129" spans="1:3" x14ac:dyDescent="0.25">
      <c r="A129" s="2" t="s">
        <v>59</v>
      </c>
      <c r="B129" s="7">
        <v>82.17</v>
      </c>
      <c r="C129" s="7">
        <v>1520451</v>
      </c>
    </row>
    <row r="130" spans="1:3" x14ac:dyDescent="0.25">
      <c r="A130" s="2" t="s">
        <v>77</v>
      </c>
      <c r="B130" s="7">
        <v>3960.6166000000003</v>
      </c>
      <c r="C130" s="7">
        <v>40909498</v>
      </c>
    </row>
    <row r="145" spans="1:5" x14ac:dyDescent="0.25">
      <c r="B145" s="1" t="s">
        <v>83</v>
      </c>
    </row>
    <row r="146" spans="1:5" x14ac:dyDescent="0.25">
      <c r="B146" t="s">
        <v>62</v>
      </c>
      <c r="D146" t="s">
        <v>109</v>
      </c>
      <c r="E146" t="s">
        <v>85</v>
      </c>
    </row>
    <row r="147" spans="1:5" x14ac:dyDescent="0.25">
      <c r="A147" s="1" t="s">
        <v>76</v>
      </c>
      <c r="B147" t="s">
        <v>108</v>
      </c>
      <c r="C147" t="s">
        <v>84</v>
      </c>
    </row>
    <row r="148" spans="1:5" x14ac:dyDescent="0.25">
      <c r="A148" s="2" t="s">
        <v>3</v>
      </c>
      <c r="B148" s="8">
        <v>80</v>
      </c>
      <c r="C148" s="8">
        <v>-337084</v>
      </c>
      <c r="D148" s="8">
        <v>80</v>
      </c>
      <c r="E148" s="8">
        <v>-337084</v>
      </c>
    </row>
    <row r="149" spans="1:5" x14ac:dyDescent="0.25">
      <c r="A149" s="2" t="s">
        <v>5</v>
      </c>
      <c r="B149" s="8">
        <v>86.98</v>
      </c>
      <c r="C149" s="8">
        <v>-159039</v>
      </c>
      <c r="D149" s="8">
        <v>86.98</v>
      </c>
      <c r="E149" s="8">
        <v>-159039</v>
      </c>
    </row>
    <row r="150" spans="1:5" x14ac:dyDescent="0.25">
      <c r="A150" s="2" t="s">
        <v>6</v>
      </c>
      <c r="B150" s="8">
        <v>88.03</v>
      </c>
      <c r="C150" s="8">
        <v>67033</v>
      </c>
      <c r="D150" s="8">
        <v>88.03</v>
      </c>
      <c r="E150" s="8">
        <v>67033</v>
      </c>
    </row>
    <row r="151" spans="1:5" x14ac:dyDescent="0.25">
      <c r="A151" s="2" t="s">
        <v>7</v>
      </c>
      <c r="B151" s="8">
        <v>82.49</v>
      </c>
      <c r="C151" s="8">
        <v>-91765</v>
      </c>
      <c r="D151" s="8">
        <v>82.49</v>
      </c>
      <c r="E151" s="8">
        <v>-91765</v>
      </c>
    </row>
    <row r="152" spans="1:5" x14ac:dyDescent="0.25">
      <c r="A152" s="2" t="s">
        <v>8</v>
      </c>
      <c r="B152" s="8">
        <v>81.42</v>
      </c>
      <c r="C152" s="8">
        <v>107161</v>
      </c>
      <c r="D152" s="8">
        <v>81.42</v>
      </c>
      <c r="E152" s="8">
        <v>107161</v>
      </c>
    </row>
    <row r="153" spans="1:5" x14ac:dyDescent="0.25">
      <c r="A153" s="2" t="s">
        <v>9</v>
      </c>
      <c r="B153" s="8">
        <v>86.843333333333334</v>
      </c>
      <c r="C153" s="8">
        <v>920561</v>
      </c>
      <c r="D153" s="8">
        <v>86.843333333333334</v>
      </c>
      <c r="E153" s="8">
        <v>920561</v>
      </c>
    </row>
    <row r="154" spans="1:5" x14ac:dyDescent="0.25">
      <c r="A154" s="2" t="s">
        <v>10</v>
      </c>
      <c r="B154" s="8">
        <v>86.316666666666663</v>
      </c>
      <c r="C154" s="8">
        <v>1197653</v>
      </c>
      <c r="D154" s="8">
        <v>86.316666666666663</v>
      </c>
      <c r="E154" s="8">
        <v>1197653</v>
      </c>
    </row>
    <row r="155" spans="1:5" x14ac:dyDescent="0.25">
      <c r="A155" s="2" t="s">
        <v>11</v>
      </c>
      <c r="B155" s="8">
        <v>82.446666666666658</v>
      </c>
      <c r="C155" s="8">
        <v>390405</v>
      </c>
      <c r="D155" s="8">
        <v>82.446666666666658</v>
      </c>
      <c r="E155" s="8">
        <v>390405</v>
      </c>
    </row>
    <row r="156" spans="1:5" x14ac:dyDescent="0.25">
      <c r="A156" s="2" t="s">
        <v>12</v>
      </c>
      <c r="B156" s="8">
        <v>80.373333333333335</v>
      </c>
      <c r="C156" s="8">
        <v>-74431</v>
      </c>
      <c r="D156" s="8">
        <v>80.373333333333335</v>
      </c>
      <c r="E156" s="8">
        <v>-74431</v>
      </c>
    </row>
    <row r="157" spans="1:5" x14ac:dyDescent="0.25">
      <c r="A157" s="2" t="s">
        <v>13</v>
      </c>
      <c r="B157" s="8">
        <v>86.490000000000009</v>
      </c>
      <c r="C157" s="8">
        <v>633968</v>
      </c>
      <c r="D157" s="8">
        <v>86.490000000000009</v>
      </c>
      <c r="E157" s="8">
        <v>633968</v>
      </c>
    </row>
    <row r="158" spans="1:5" x14ac:dyDescent="0.25">
      <c r="A158" s="2" t="s">
        <v>14</v>
      </c>
      <c r="B158" s="8">
        <v>87.463333333333338</v>
      </c>
      <c r="C158" s="8">
        <v>866109</v>
      </c>
      <c r="D158" s="8">
        <v>87.463333333333338</v>
      </c>
      <c r="E158" s="8">
        <v>866109</v>
      </c>
    </row>
    <row r="159" spans="1:5" x14ac:dyDescent="0.25">
      <c r="A159" s="2" t="s">
        <v>15</v>
      </c>
      <c r="B159" s="8">
        <v>84.373333333333335</v>
      </c>
      <c r="C159" s="8">
        <v>819171</v>
      </c>
      <c r="D159" s="8">
        <v>84.373333333333335</v>
      </c>
      <c r="E159" s="8">
        <v>819171</v>
      </c>
    </row>
    <row r="160" spans="1:5" x14ac:dyDescent="0.25">
      <c r="A160" s="2" t="s">
        <v>16</v>
      </c>
      <c r="B160" s="8">
        <v>83.006666666666661</v>
      </c>
      <c r="C160" s="8">
        <v>381641</v>
      </c>
      <c r="D160" s="8">
        <v>83.006666666666661</v>
      </c>
      <c r="E160" s="8">
        <v>381641</v>
      </c>
    </row>
    <row r="161" spans="1:5" x14ac:dyDescent="0.25">
      <c r="A161" s="2" t="s">
        <v>17</v>
      </c>
      <c r="B161" s="8">
        <v>87.733333333333334</v>
      </c>
      <c r="C161" s="8">
        <v>337484</v>
      </c>
      <c r="D161" s="8">
        <v>87.733333333333334</v>
      </c>
      <c r="E161" s="8">
        <v>337484</v>
      </c>
    </row>
    <row r="162" spans="1:5" x14ac:dyDescent="0.25">
      <c r="A162" s="2" t="s">
        <v>18</v>
      </c>
      <c r="B162" s="8">
        <v>86.786666666666662</v>
      </c>
      <c r="C162" s="8">
        <v>1461050</v>
      </c>
      <c r="D162" s="8">
        <v>86.786666666666662</v>
      </c>
      <c r="E162" s="8">
        <v>1461050</v>
      </c>
    </row>
    <row r="163" spans="1:5" x14ac:dyDescent="0.25">
      <c r="A163" s="2" t="s">
        <v>19</v>
      </c>
      <c r="B163" s="8">
        <v>84.54</v>
      </c>
      <c r="C163" s="8">
        <v>468302</v>
      </c>
      <c r="D163" s="8">
        <v>84.54</v>
      </c>
      <c r="E163" s="8">
        <v>468302</v>
      </c>
    </row>
    <row r="164" spans="1:5" x14ac:dyDescent="0.25">
      <c r="A164" s="2" t="s">
        <v>20</v>
      </c>
      <c r="B164" s="8">
        <v>83.36</v>
      </c>
      <c r="C164" s="8">
        <v>322621</v>
      </c>
      <c r="D164" s="8">
        <v>83.36</v>
      </c>
      <c r="E164" s="8">
        <v>322621</v>
      </c>
    </row>
    <row r="165" spans="1:5" x14ac:dyDescent="0.25">
      <c r="A165" s="2" t="s">
        <v>21</v>
      </c>
      <c r="B165" s="8">
        <v>86.226666666666659</v>
      </c>
      <c r="C165" s="8">
        <v>948977</v>
      </c>
      <c r="D165" s="8">
        <v>86.226666666666659</v>
      </c>
      <c r="E165" s="8">
        <v>948977</v>
      </c>
    </row>
    <row r="166" spans="1:5" x14ac:dyDescent="0.25">
      <c r="A166" s="2" t="s">
        <v>22</v>
      </c>
      <c r="B166" s="8">
        <v>85.72</v>
      </c>
      <c r="C166" s="8">
        <v>1696529</v>
      </c>
      <c r="D166" s="8">
        <v>85.72</v>
      </c>
      <c r="E166" s="8">
        <v>1696529</v>
      </c>
    </row>
    <row r="167" spans="1:5" x14ac:dyDescent="0.25">
      <c r="A167" s="2" t="s">
        <v>23</v>
      </c>
      <c r="B167" s="8">
        <v>83.393333333333331</v>
      </c>
      <c r="C167" s="8">
        <v>869555</v>
      </c>
      <c r="D167" s="8">
        <v>83.393333333333331</v>
      </c>
      <c r="E167" s="8">
        <v>869555</v>
      </c>
    </row>
    <row r="168" spans="1:5" x14ac:dyDescent="0.25">
      <c r="A168" s="2" t="s">
        <v>24</v>
      </c>
      <c r="B168" s="8">
        <v>84.973333333333329</v>
      </c>
      <c r="C168" s="8">
        <v>671904</v>
      </c>
      <c r="D168" s="8">
        <v>84.973333333333329</v>
      </c>
      <c r="E168" s="8">
        <v>671904</v>
      </c>
    </row>
    <row r="169" spans="1:5" x14ac:dyDescent="0.25">
      <c r="A169" s="2" t="s">
        <v>25</v>
      </c>
      <c r="B169" s="8">
        <v>88.493333333333339</v>
      </c>
      <c r="C169" s="8">
        <v>1615666</v>
      </c>
      <c r="D169" s="8">
        <v>88.493333333333339</v>
      </c>
      <c r="E169" s="8">
        <v>1615666</v>
      </c>
    </row>
    <row r="170" spans="1:5" x14ac:dyDescent="0.25">
      <c r="A170" s="2" t="s">
        <v>26</v>
      </c>
      <c r="B170" s="8">
        <v>87.76</v>
      </c>
      <c r="C170" s="8">
        <v>1409299</v>
      </c>
      <c r="D170" s="8">
        <v>87.76</v>
      </c>
      <c r="E170" s="8">
        <v>1409299</v>
      </c>
    </row>
    <row r="171" spans="1:5" x14ac:dyDescent="0.25">
      <c r="A171" s="2" t="s">
        <v>27</v>
      </c>
      <c r="B171" s="8">
        <v>85.25333333333333</v>
      </c>
      <c r="C171" s="8">
        <v>-772361</v>
      </c>
      <c r="D171" s="8">
        <v>85.25333333333333</v>
      </c>
      <c r="E171" s="8">
        <v>-772361</v>
      </c>
    </row>
    <row r="172" spans="1:5" x14ac:dyDescent="0.25">
      <c r="A172" s="2" t="s">
        <v>28</v>
      </c>
      <c r="B172" s="8">
        <v>84.86333333333333</v>
      </c>
      <c r="C172" s="8">
        <v>1404428</v>
      </c>
      <c r="D172" s="8">
        <v>84.86333333333333</v>
      </c>
      <c r="E172" s="8">
        <v>1404428</v>
      </c>
    </row>
    <row r="173" spans="1:5" x14ac:dyDescent="0.25">
      <c r="A173" s="2" t="s">
        <v>29</v>
      </c>
      <c r="B173" s="8">
        <v>88.313333333333333</v>
      </c>
      <c r="C173" s="8">
        <v>2496242</v>
      </c>
      <c r="D173" s="8">
        <v>88.313333333333333</v>
      </c>
      <c r="E173" s="8">
        <v>2496242</v>
      </c>
    </row>
    <row r="174" spans="1:5" x14ac:dyDescent="0.25">
      <c r="A174" s="2" t="s">
        <v>30</v>
      </c>
      <c r="B174" s="8">
        <v>87.873333333333335</v>
      </c>
      <c r="C174" s="8">
        <v>2222326</v>
      </c>
      <c r="D174" s="8">
        <v>87.873333333333335</v>
      </c>
      <c r="E174" s="8">
        <v>2222326</v>
      </c>
    </row>
    <row r="175" spans="1:5" x14ac:dyDescent="0.25">
      <c r="A175" s="2" t="s">
        <v>31</v>
      </c>
      <c r="B175" s="8">
        <v>87.33</v>
      </c>
      <c r="C175" s="8">
        <v>1721657</v>
      </c>
      <c r="D175" s="8">
        <v>87.33</v>
      </c>
      <c r="E175" s="8">
        <v>1721657</v>
      </c>
    </row>
    <row r="176" spans="1:5" x14ac:dyDescent="0.25">
      <c r="A176" s="2" t="s">
        <v>32</v>
      </c>
      <c r="B176" s="8">
        <v>84.14</v>
      </c>
      <c r="C176" s="8">
        <v>1544323</v>
      </c>
      <c r="D176" s="8">
        <v>84.14</v>
      </c>
      <c r="E176" s="8">
        <v>1544323</v>
      </c>
    </row>
    <row r="177" spans="1:5" x14ac:dyDescent="0.25">
      <c r="A177" s="2" t="s">
        <v>33</v>
      </c>
      <c r="B177" s="8">
        <v>87.58</v>
      </c>
      <c r="C177" s="8">
        <v>2423691</v>
      </c>
      <c r="D177" s="8">
        <v>87.58</v>
      </c>
      <c r="E177" s="8">
        <v>2423691</v>
      </c>
    </row>
    <row r="178" spans="1:5" x14ac:dyDescent="0.25">
      <c r="A178" s="2" t="s">
        <v>34</v>
      </c>
      <c r="B178" s="8">
        <v>85.94</v>
      </c>
      <c r="C178" s="8">
        <v>1979077</v>
      </c>
      <c r="D178" s="8">
        <v>85.94</v>
      </c>
      <c r="E178" s="8">
        <v>1979077</v>
      </c>
    </row>
    <row r="179" spans="1:5" x14ac:dyDescent="0.25">
      <c r="A179" s="2" t="s">
        <v>35</v>
      </c>
      <c r="B179" s="8">
        <v>87.72</v>
      </c>
      <c r="C179" s="8">
        <v>1029340</v>
      </c>
      <c r="D179" s="8">
        <v>87.72</v>
      </c>
      <c r="E179" s="8">
        <v>1029340</v>
      </c>
    </row>
    <row r="180" spans="1:5" x14ac:dyDescent="0.25">
      <c r="A180" s="2" t="s">
        <v>36</v>
      </c>
      <c r="B180" s="8">
        <v>84.786666666666676</v>
      </c>
      <c r="C180" s="8">
        <v>1067917</v>
      </c>
      <c r="D180" s="8">
        <v>84.786666666666676</v>
      </c>
      <c r="E180" s="8">
        <v>1067917</v>
      </c>
    </row>
    <row r="181" spans="1:5" x14ac:dyDescent="0.25">
      <c r="A181" s="2" t="s">
        <v>37</v>
      </c>
      <c r="B181" s="8">
        <v>88.176666666666662</v>
      </c>
      <c r="C181" s="8">
        <v>2036048</v>
      </c>
      <c r="D181" s="8">
        <v>88.176666666666662</v>
      </c>
      <c r="E181" s="8">
        <v>2036048</v>
      </c>
    </row>
    <row r="182" spans="1:5" x14ac:dyDescent="0.25">
      <c r="A182" s="2" t="s">
        <v>38</v>
      </c>
      <c r="B182" s="8">
        <v>87.13000000000001</v>
      </c>
      <c r="C182" s="8">
        <v>1847431</v>
      </c>
      <c r="D182" s="8">
        <v>87.13000000000001</v>
      </c>
      <c r="E182" s="8">
        <v>1847431</v>
      </c>
    </row>
    <row r="183" spans="1:5" x14ac:dyDescent="0.25">
      <c r="A183" s="2" t="s">
        <v>39</v>
      </c>
      <c r="B183" s="8">
        <v>87.053333333333342</v>
      </c>
      <c r="C183" s="8">
        <v>1198336</v>
      </c>
      <c r="D183" s="8">
        <v>87.053333333333342</v>
      </c>
      <c r="E183" s="8">
        <v>1198336</v>
      </c>
    </row>
    <row r="184" spans="1:5" x14ac:dyDescent="0.25">
      <c r="A184" s="2" t="s">
        <v>40</v>
      </c>
      <c r="B184" s="8">
        <v>84.023333333333341</v>
      </c>
      <c r="C184" s="8">
        <v>912490</v>
      </c>
      <c r="D184" s="8">
        <v>84.023333333333341</v>
      </c>
      <c r="E184" s="8">
        <v>912490</v>
      </c>
    </row>
    <row r="185" spans="1:5" x14ac:dyDescent="0.25">
      <c r="A185" s="2" t="s">
        <v>41</v>
      </c>
      <c r="B185" s="8">
        <v>87.51</v>
      </c>
      <c r="C185" s="8">
        <v>1742062</v>
      </c>
      <c r="D185" s="8">
        <v>87.51</v>
      </c>
      <c r="E185" s="8">
        <v>1742062</v>
      </c>
    </row>
    <row r="186" spans="1:5" x14ac:dyDescent="0.25">
      <c r="A186" s="2" t="s">
        <v>42</v>
      </c>
      <c r="B186" s="8">
        <v>87.086666666666673</v>
      </c>
      <c r="C186" s="8">
        <v>1663858</v>
      </c>
      <c r="D186" s="8">
        <v>87.086666666666673</v>
      </c>
      <c r="E186" s="8">
        <v>1663858</v>
      </c>
    </row>
    <row r="187" spans="1:5" x14ac:dyDescent="0.25">
      <c r="A187" s="2" t="s">
        <v>43</v>
      </c>
      <c r="B187" s="8">
        <v>86.850000000000009</v>
      </c>
      <c r="C187" s="8">
        <v>1185494</v>
      </c>
      <c r="D187" s="8">
        <v>86.850000000000009</v>
      </c>
      <c r="E187" s="8">
        <v>1185494</v>
      </c>
    </row>
    <row r="188" spans="1:5" x14ac:dyDescent="0.25">
      <c r="A188" s="2" t="s">
        <v>44</v>
      </c>
      <c r="B188" s="8">
        <v>84.25</v>
      </c>
      <c r="C188" s="8">
        <v>1019481</v>
      </c>
      <c r="D188" s="8">
        <v>84.25</v>
      </c>
      <c r="E188" s="8">
        <v>1019481</v>
      </c>
    </row>
    <row r="189" spans="1:5" x14ac:dyDescent="0.25">
      <c r="A189" s="2" t="s">
        <v>45</v>
      </c>
      <c r="B189" s="8">
        <v>89.89</v>
      </c>
      <c r="C189" s="8">
        <v>2080770</v>
      </c>
      <c r="D189" s="8">
        <v>89.89</v>
      </c>
      <c r="E189" s="8">
        <v>2080770</v>
      </c>
    </row>
    <row r="190" spans="1:5" x14ac:dyDescent="0.25">
      <c r="A190" s="2" t="s">
        <v>46</v>
      </c>
      <c r="B190" s="8">
        <v>89.123333333333335</v>
      </c>
      <c r="C190" s="8">
        <v>2062770</v>
      </c>
      <c r="D190" s="8">
        <v>89.123333333333335</v>
      </c>
      <c r="E190" s="8">
        <v>2062770</v>
      </c>
    </row>
    <row r="191" spans="1:5" x14ac:dyDescent="0.25">
      <c r="A191" s="2" t="s">
        <v>47</v>
      </c>
      <c r="B191" s="8">
        <v>86.793333333333337</v>
      </c>
      <c r="C191" s="8">
        <v>1395768</v>
      </c>
      <c r="D191" s="8">
        <v>86.793333333333337</v>
      </c>
      <c r="E191" s="8">
        <v>1395768</v>
      </c>
    </row>
    <row r="192" spans="1:5" x14ac:dyDescent="0.25">
      <c r="A192" s="2" t="s">
        <v>48</v>
      </c>
      <c r="B192" s="8">
        <v>72.78</v>
      </c>
      <c r="C192" s="8">
        <v>-326044</v>
      </c>
      <c r="D192" s="8">
        <v>72.78</v>
      </c>
      <c r="E192" s="8">
        <v>-326044</v>
      </c>
    </row>
    <row r="193" spans="1:5" x14ac:dyDescent="0.25">
      <c r="A193" s="2" t="s">
        <v>49</v>
      </c>
      <c r="B193" s="8">
        <v>34.21</v>
      </c>
      <c r="C193" s="8">
        <v>-3517502</v>
      </c>
      <c r="D193" s="8">
        <v>34.21</v>
      </c>
      <c r="E193" s="8">
        <v>-3517502</v>
      </c>
    </row>
    <row r="194" spans="1:5" x14ac:dyDescent="0.25">
      <c r="A194" s="2" t="s">
        <v>50</v>
      </c>
      <c r="B194" s="8">
        <v>43.243333333333332</v>
      </c>
      <c r="C194" s="8">
        <v>-2292385</v>
      </c>
      <c r="D194" s="8">
        <v>43.243333333333332</v>
      </c>
      <c r="E194" s="8">
        <v>-2292385</v>
      </c>
    </row>
    <row r="195" spans="1:5" x14ac:dyDescent="0.25">
      <c r="A195" s="2" t="s">
        <v>51</v>
      </c>
      <c r="B195" s="8">
        <v>43.886666666666663</v>
      </c>
      <c r="C195" s="8">
        <v>-1736877</v>
      </c>
      <c r="D195" s="8">
        <v>43.886666666666663</v>
      </c>
      <c r="E195" s="8">
        <v>-1736877</v>
      </c>
    </row>
    <row r="196" spans="1:5" x14ac:dyDescent="0.25">
      <c r="A196" s="2" t="s">
        <v>52</v>
      </c>
      <c r="B196" s="8">
        <v>48.693333333333335</v>
      </c>
      <c r="C196" s="8">
        <v>-2494911</v>
      </c>
      <c r="D196" s="8">
        <v>48.693333333333335</v>
      </c>
      <c r="E196" s="8">
        <v>-2494911</v>
      </c>
    </row>
    <row r="197" spans="1:5" x14ac:dyDescent="0.25">
      <c r="A197" s="2" t="s">
        <v>53</v>
      </c>
      <c r="B197" s="8">
        <v>74.510000000000005</v>
      </c>
      <c r="C197" s="8">
        <v>-534558</v>
      </c>
      <c r="D197" s="8">
        <v>74.510000000000005</v>
      </c>
      <c r="E197" s="8">
        <v>-534558</v>
      </c>
    </row>
    <row r="198" spans="1:5" x14ac:dyDescent="0.25">
      <c r="A198" s="2" t="s">
        <v>54</v>
      </c>
      <c r="B198" s="8">
        <v>84.703333333333333</v>
      </c>
      <c r="C198" s="8">
        <v>552729</v>
      </c>
      <c r="D198" s="8">
        <v>84.703333333333333</v>
      </c>
      <c r="E198" s="8">
        <v>552729</v>
      </c>
    </row>
    <row r="199" spans="1:5" x14ac:dyDescent="0.25">
      <c r="A199" s="2" t="s">
        <v>55</v>
      </c>
      <c r="B199" s="8">
        <v>83.026666666666671</v>
      </c>
      <c r="C199" s="8">
        <v>396369</v>
      </c>
      <c r="D199" s="8">
        <v>83.026666666666671</v>
      </c>
      <c r="E199" s="8">
        <v>396369</v>
      </c>
    </row>
    <row r="200" spans="1:5" x14ac:dyDescent="0.25">
      <c r="A200" s="2" t="s">
        <v>56</v>
      </c>
      <c r="B200" s="8">
        <v>79.17</v>
      </c>
      <c r="C200" s="8">
        <v>-684114</v>
      </c>
      <c r="D200" s="8">
        <v>79.17</v>
      </c>
      <c r="E200" s="8">
        <v>-684114</v>
      </c>
    </row>
    <row r="201" spans="1:5" x14ac:dyDescent="0.25">
      <c r="A201" s="2" t="s">
        <v>57</v>
      </c>
      <c r="B201" s="8">
        <v>90.679999999999993</v>
      </c>
      <c r="C201" s="8">
        <v>1654695</v>
      </c>
      <c r="D201" s="8">
        <v>90.679999999999993</v>
      </c>
      <c r="E201" s="8">
        <v>1654695</v>
      </c>
    </row>
    <row r="202" spans="1:5" x14ac:dyDescent="0.25">
      <c r="A202" s="2" t="s">
        <v>58</v>
      </c>
      <c r="B202" s="8">
        <v>87.2</v>
      </c>
      <c r="C202" s="8">
        <v>1587727</v>
      </c>
      <c r="D202" s="8">
        <v>87.2</v>
      </c>
      <c r="E202" s="8">
        <v>1587727</v>
      </c>
    </row>
    <row r="203" spans="1:5" x14ac:dyDescent="0.25">
      <c r="A203" s="2" t="s">
        <v>59</v>
      </c>
      <c r="B203" s="8">
        <v>86.960000000000008</v>
      </c>
      <c r="C203" s="8">
        <v>1520451</v>
      </c>
      <c r="D203" s="8">
        <v>86.960000000000008</v>
      </c>
      <c r="E203" s="8">
        <v>1520451</v>
      </c>
    </row>
    <row r="204" spans="1:5" x14ac:dyDescent="0.25">
      <c r="A204" s="2" t="s">
        <v>77</v>
      </c>
      <c r="B204" s="8">
        <v>4605.9699999999993</v>
      </c>
      <c r="C204" s="8">
        <v>40909498</v>
      </c>
      <c r="D204" s="8">
        <v>4605.9699999999993</v>
      </c>
      <c r="E204" s="8">
        <v>40909498</v>
      </c>
    </row>
    <row r="213" spans="1:3" x14ac:dyDescent="0.25">
      <c r="C213" s="5"/>
    </row>
    <row r="214" spans="1:3" x14ac:dyDescent="0.25">
      <c r="A214" t="s">
        <v>87</v>
      </c>
      <c r="B214" t="s">
        <v>84</v>
      </c>
    </row>
    <row r="215" spans="1:3" x14ac:dyDescent="0.25">
      <c r="A215" s="7">
        <v>511941627</v>
      </c>
      <c r="B215" s="7">
        <v>40909498</v>
      </c>
      <c r="C215" s="6">
        <f>B215/A215</f>
        <v>7.9910473855645259E-2</v>
      </c>
    </row>
  </sheetData>
  <pageMargins left="0.7" right="0.7" top="0.75" bottom="0.75" header="0.3" footer="0.3"/>
  <drawing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F71BF-25EA-4A0D-AE05-8C50F5252B61}">
  <sheetPr>
    <tabColor rgb="FF92D050"/>
  </sheetPr>
  <dimension ref="A1:L381"/>
  <sheetViews>
    <sheetView topLeftCell="A365" workbookViewId="0">
      <selection activeCell="C375" sqref="C375"/>
    </sheetView>
  </sheetViews>
  <sheetFormatPr defaultRowHeight="15" x14ac:dyDescent="0.25"/>
  <cols>
    <col min="1" max="1" width="13.42578125" bestFit="1" customWidth="1"/>
    <col min="2" max="2" width="17.42578125" bestFit="1" customWidth="1"/>
    <col min="3" max="3" width="25" bestFit="1" customWidth="1"/>
    <col min="4" max="4" width="24.28515625" bestFit="1" customWidth="1"/>
    <col min="5" max="5" width="13.42578125" bestFit="1" customWidth="1"/>
    <col min="6" max="6" width="25" bestFit="1" customWidth="1"/>
    <col min="7" max="7" width="18.5703125" bestFit="1" customWidth="1"/>
    <col min="8" max="8" width="32.42578125" bestFit="1" customWidth="1"/>
    <col min="11" max="11" width="14.42578125" bestFit="1" customWidth="1"/>
    <col min="12" max="12" width="27.5703125" bestFit="1" customWidth="1"/>
  </cols>
  <sheetData>
    <row r="1" spans="1:12" x14ac:dyDescent="0.25">
      <c r="A1" s="1" t="s">
        <v>1</v>
      </c>
      <c r="B1" t="s" vm="2">
        <v>62</v>
      </c>
      <c r="K1" s="1" t="s">
        <v>76</v>
      </c>
      <c r="L1" t="s">
        <v>113</v>
      </c>
    </row>
    <row r="2" spans="1:12" x14ac:dyDescent="0.25">
      <c r="K2" s="2" t="s">
        <v>82</v>
      </c>
      <c r="L2" s="9">
        <v>-2115246.6</v>
      </c>
    </row>
    <row r="3" spans="1:12" x14ac:dyDescent="0.25">
      <c r="A3" s="1" t="s">
        <v>76</v>
      </c>
      <c r="B3" t="s">
        <v>84</v>
      </c>
      <c r="C3" t="s">
        <v>79</v>
      </c>
      <c r="E3" s="1" t="s">
        <v>76</v>
      </c>
      <c r="F3" t="s">
        <v>87</v>
      </c>
      <c r="G3" t="s">
        <v>79</v>
      </c>
      <c r="K3" s="2" t="s">
        <v>81</v>
      </c>
      <c r="L3" s="9">
        <v>1009524.1372549019</v>
      </c>
    </row>
    <row r="4" spans="1:12" x14ac:dyDescent="0.25">
      <c r="A4" s="2" t="s">
        <v>3</v>
      </c>
      <c r="B4" s="8">
        <v>-337084</v>
      </c>
      <c r="C4" s="8">
        <v>-515691</v>
      </c>
      <c r="E4" s="2" t="s">
        <v>97</v>
      </c>
      <c r="F4" s="8">
        <v>178157266</v>
      </c>
      <c r="G4" s="8">
        <v>11510002</v>
      </c>
      <c r="K4" s="2" t="s">
        <v>77</v>
      </c>
      <c r="L4" s="9">
        <v>730526.75</v>
      </c>
    </row>
    <row r="5" spans="1:12" x14ac:dyDescent="0.25">
      <c r="A5" s="2" t="s">
        <v>5</v>
      </c>
      <c r="B5" s="8">
        <v>-159039</v>
      </c>
      <c r="C5" s="8">
        <v>-264344</v>
      </c>
      <c r="E5" s="2" t="s">
        <v>98</v>
      </c>
      <c r="F5" s="8">
        <v>186357426</v>
      </c>
      <c r="G5" s="8">
        <v>14511214</v>
      </c>
    </row>
    <row r="6" spans="1:12" x14ac:dyDescent="0.25">
      <c r="A6" s="2" t="s">
        <v>6</v>
      </c>
      <c r="B6" s="8">
        <v>67033</v>
      </c>
      <c r="C6" s="8">
        <v>-87359</v>
      </c>
      <c r="E6" s="2" t="s">
        <v>99</v>
      </c>
      <c r="F6" s="8">
        <v>70205647</v>
      </c>
      <c r="G6" s="8">
        <v>-35012813</v>
      </c>
    </row>
    <row r="7" spans="1:12" x14ac:dyDescent="0.25">
      <c r="A7" s="2" t="s">
        <v>7</v>
      </c>
      <c r="B7" s="8">
        <v>-91765</v>
      </c>
      <c r="C7" s="8">
        <v>-47803</v>
      </c>
      <c r="E7" s="2" t="s">
        <v>100</v>
      </c>
      <c r="F7" s="8">
        <v>121019882</v>
      </c>
      <c r="G7" s="8">
        <v>-2864113</v>
      </c>
    </row>
    <row r="8" spans="1:12" x14ac:dyDescent="0.25">
      <c r="A8" s="2" t="s">
        <v>8</v>
      </c>
      <c r="B8" s="8">
        <v>107161</v>
      </c>
      <c r="C8" s="8">
        <v>-260733</v>
      </c>
      <c r="E8" s="2" t="s">
        <v>101</v>
      </c>
      <c r="F8" s="8">
        <v>200537347</v>
      </c>
      <c r="G8" s="8">
        <v>2267909</v>
      </c>
    </row>
    <row r="9" spans="1:12" x14ac:dyDescent="0.25">
      <c r="A9" s="2" t="s">
        <v>9</v>
      </c>
      <c r="B9" s="8">
        <v>920561</v>
      </c>
      <c r="C9" s="8">
        <v>459576</v>
      </c>
      <c r="E9" s="2" t="s">
        <v>77</v>
      </c>
      <c r="F9" s="8">
        <v>756277568</v>
      </c>
      <c r="G9" s="8">
        <v>-9587801</v>
      </c>
      <c r="K9" s="1" t="s">
        <v>80</v>
      </c>
      <c r="L9" t="s" vm="1">
        <v>82</v>
      </c>
    </row>
    <row r="10" spans="1:12" x14ac:dyDescent="0.25">
      <c r="A10" s="2" t="s">
        <v>10</v>
      </c>
      <c r="B10" s="8">
        <v>1197653</v>
      </c>
      <c r="C10" s="8">
        <v>388696</v>
      </c>
    </row>
    <row r="11" spans="1:12" x14ac:dyDescent="0.25">
      <c r="A11" s="2" t="s">
        <v>11</v>
      </c>
      <c r="B11" s="8">
        <v>390405</v>
      </c>
      <c r="C11" s="8">
        <v>98451</v>
      </c>
      <c r="K11" s="1" t="s">
        <v>76</v>
      </c>
      <c r="L11" t="s">
        <v>114</v>
      </c>
    </row>
    <row r="12" spans="1:12" x14ac:dyDescent="0.25">
      <c r="A12" s="2" t="s">
        <v>12</v>
      </c>
      <c r="B12" s="8">
        <v>-74431</v>
      </c>
      <c r="C12" s="8">
        <v>-295020</v>
      </c>
      <c r="K12" s="2" t="s">
        <v>62</v>
      </c>
      <c r="L12" s="9">
        <v>-1830299</v>
      </c>
    </row>
    <row r="13" spans="1:12" x14ac:dyDescent="0.25">
      <c r="A13" s="2" t="s">
        <v>13</v>
      </c>
      <c r="B13" s="8">
        <v>633968</v>
      </c>
      <c r="C13" s="8">
        <v>235953</v>
      </c>
      <c r="K13" s="2" t="s">
        <v>61</v>
      </c>
      <c r="L13" s="9">
        <v>233257.21000000002</v>
      </c>
    </row>
    <row r="14" spans="1:12" x14ac:dyDescent="0.25">
      <c r="A14" s="2" t="s">
        <v>14</v>
      </c>
      <c r="B14" s="8">
        <v>866109</v>
      </c>
      <c r="C14" s="8">
        <v>562182</v>
      </c>
      <c r="K14" s="2" t="s">
        <v>67</v>
      </c>
      <c r="L14" s="9">
        <v>256640.58000000007</v>
      </c>
    </row>
    <row r="15" spans="1:12" x14ac:dyDescent="0.25">
      <c r="A15" s="2" t="s">
        <v>15</v>
      </c>
      <c r="B15" s="8">
        <v>819171</v>
      </c>
      <c r="C15" s="8">
        <v>475404</v>
      </c>
      <c r="K15" s="2" t="s">
        <v>68</v>
      </c>
      <c r="L15" s="9">
        <v>483144.20000000007</v>
      </c>
    </row>
    <row r="16" spans="1:12" x14ac:dyDescent="0.25">
      <c r="A16" s="2" t="s">
        <v>16</v>
      </c>
      <c r="B16" s="8">
        <v>381641</v>
      </c>
      <c r="C16" s="8">
        <v>145841</v>
      </c>
      <c r="K16" s="2" t="s">
        <v>60</v>
      </c>
      <c r="L16" s="9">
        <v>567076.77999999991</v>
      </c>
    </row>
    <row r="17" spans="1:12" x14ac:dyDescent="0.25">
      <c r="A17" s="2" t="s">
        <v>17</v>
      </c>
      <c r="B17" s="8">
        <v>337484</v>
      </c>
      <c r="C17" s="8">
        <v>-150721</v>
      </c>
      <c r="K17" s="2" t="s">
        <v>65</v>
      </c>
      <c r="L17" s="9">
        <v>1409365.1800000002</v>
      </c>
    </row>
    <row r="18" spans="1:12" x14ac:dyDescent="0.25">
      <c r="A18" s="2" t="s">
        <v>18</v>
      </c>
      <c r="B18" s="8">
        <v>1461050</v>
      </c>
      <c r="C18" s="8">
        <v>1169931</v>
      </c>
      <c r="K18" s="2" t="s">
        <v>66</v>
      </c>
      <c r="L18" s="9">
        <v>1901475</v>
      </c>
    </row>
    <row r="19" spans="1:12" x14ac:dyDescent="0.25">
      <c r="A19" s="2" t="s">
        <v>19</v>
      </c>
      <c r="B19" s="8">
        <v>468302</v>
      </c>
      <c r="C19" s="8">
        <v>-20422</v>
      </c>
      <c r="K19" s="2" t="s">
        <v>64</v>
      </c>
      <c r="L19" s="9">
        <v>4675193</v>
      </c>
    </row>
    <row r="20" spans="1:12" x14ac:dyDescent="0.25">
      <c r="A20" s="2" t="s">
        <v>20</v>
      </c>
      <c r="B20" s="8">
        <v>322621</v>
      </c>
      <c r="C20" s="8">
        <v>6760</v>
      </c>
      <c r="K20" s="2" t="s">
        <v>63</v>
      </c>
      <c r="L20" s="9">
        <v>6305996.4600000009</v>
      </c>
    </row>
    <row r="21" spans="1:12" x14ac:dyDescent="0.25">
      <c r="A21" s="2" t="s">
        <v>21</v>
      </c>
      <c r="B21" s="8">
        <v>948977</v>
      </c>
      <c r="C21" s="8">
        <v>688701</v>
      </c>
      <c r="K21" s="2" t="s">
        <v>4</v>
      </c>
      <c r="L21" s="9">
        <v>8853308.9600000009</v>
      </c>
    </row>
    <row r="22" spans="1:12" x14ac:dyDescent="0.25">
      <c r="A22" s="2" t="s">
        <v>22</v>
      </c>
      <c r="B22" s="8">
        <v>1696529</v>
      </c>
      <c r="C22" s="8">
        <v>1371648</v>
      </c>
      <c r="K22" s="2" t="s">
        <v>77</v>
      </c>
      <c r="L22" s="9">
        <v>22855158.369999997</v>
      </c>
    </row>
    <row r="23" spans="1:12" x14ac:dyDescent="0.25">
      <c r="A23" s="2" t="s">
        <v>23</v>
      </c>
      <c r="B23" s="8">
        <v>869555</v>
      </c>
      <c r="C23" s="8">
        <v>8482125</v>
      </c>
    </row>
    <row r="24" spans="1:12" x14ac:dyDescent="0.25">
      <c r="A24" s="2" t="s">
        <v>24</v>
      </c>
      <c r="B24" s="8">
        <v>671904</v>
      </c>
      <c r="C24" s="8">
        <v>218132</v>
      </c>
    </row>
    <row r="25" spans="1:12" x14ac:dyDescent="0.25">
      <c r="A25" s="2" t="s">
        <v>25</v>
      </c>
      <c r="B25" s="8">
        <v>1615666</v>
      </c>
      <c r="C25" s="8">
        <v>807422</v>
      </c>
    </row>
    <row r="26" spans="1:12" x14ac:dyDescent="0.25">
      <c r="A26" s="2" t="s">
        <v>26</v>
      </c>
      <c r="B26" s="8">
        <v>1409299</v>
      </c>
      <c r="C26" s="8">
        <v>361459</v>
      </c>
    </row>
    <row r="27" spans="1:12" x14ac:dyDescent="0.25">
      <c r="A27" s="2" t="s">
        <v>27</v>
      </c>
      <c r="B27" s="8">
        <v>-772361</v>
      </c>
      <c r="C27" s="8">
        <v>-702544</v>
      </c>
    </row>
    <row r="28" spans="1:12" x14ac:dyDescent="0.25">
      <c r="A28" s="2" t="s">
        <v>28</v>
      </c>
      <c r="B28" s="8">
        <v>1404428</v>
      </c>
      <c r="C28" s="8">
        <v>744504</v>
      </c>
    </row>
    <row r="29" spans="1:12" x14ac:dyDescent="0.25">
      <c r="A29" s="2" t="s">
        <v>29</v>
      </c>
      <c r="B29" s="8">
        <v>2496242</v>
      </c>
      <c r="C29" s="8">
        <v>1487293</v>
      </c>
    </row>
    <row r="30" spans="1:12" x14ac:dyDescent="0.25">
      <c r="A30" s="2" t="s">
        <v>30</v>
      </c>
      <c r="B30" s="8">
        <v>2222326</v>
      </c>
      <c r="C30" s="8">
        <v>1319219</v>
      </c>
    </row>
    <row r="31" spans="1:12" x14ac:dyDescent="0.25">
      <c r="A31" s="2" t="s">
        <v>31</v>
      </c>
      <c r="B31" s="8">
        <v>1721657</v>
      </c>
      <c r="C31" s="8">
        <v>987477</v>
      </c>
    </row>
    <row r="32" spans="1:12" x14ac:dyDescent="0.25">
      <c r="A32" s="2" t="s">
        <v>32</v>
      </c>
      <c r="B32" s="8">
        <v>1544323</v>
      </c>
      <c r="C32" s="8">
        <v>955182</v>
      </c>
    </row>
    <row r="33" spans="1:3" x14ac:dyDescent="0.25">
      <c r="A33" s="2" t="s">
        <v>33</v>
      </c>
      <c r="B33" s="8">
        <v>2423691</v>
      </c>
      <c r="C33" s="8">
        <v>1552513</v>
      </c>
    </row>
    <row r="34" spans="1:3" x14ac:dyDescent="0.25">
      <c r="A34" s="2" t="s">
        <v>34</v>
      </c>
      <c r="B34" s="8">
        <v>1979077</v>
      </c>
      <c r="C34" s="8">
        <v>1269304</v>
      </c>
    </row>
    <row r="35" spans="1:3" x14ac:dyDescent="0.25">
      <c r="A35" s="2" t="s">
        <v>35</v>
      </c>
      <c r="B35" s="8">
        <v>1029340</v>
      </c>
      <c r="C35" s="8">
        <v>632847</v>
      </c>
    </row>
    <row r="36" spans="1:3" x14ac:dyDescent="0.25">
      <c r="A36" s="2" t="s">
        <v>36</v>
      </c>
      <c r="B36" s="8">
        <v>1067917</v>
      </c>
      <c r="C36" s="8">
        <v>615913</v>
      </c>
    </row>
    <row r="37" spans="1:3" x14ac:dyDescent="0.25">
      <c r="A37" s="2" t="s">
        <v>37</v>
      </c>
      <c r="B37" s="8">
        <v>2036048</v>
      </c>
      <c r="C37" s="8">
        <v>1235513</v>
      </c>
    </row>
    <row r="38" spans="1:3" x14ac:dyDescent="0.25">
      <c r="A38" s="2" t="s">
        <v>38</v>
      </c>
      <c r="B38" s="8">
        <v>1847431</v>
      </c>
      <c r="C38" s="8">
        <v>1191398</v>
      </c>
    </row>
    <row r="39" spans="1:3" x14ac:dyDescent="0.25">
      <c r="A39" s="2" t="s">
        <v>39</v>
      </c>
      <c r="B39" s="8">
        <v>1198336</v>
      </c>
      <c r="C39" s="8">
        <v>591546</v>
      </c>
    </row>
    <row r="40" spans="1:3" x14ac:dyDescent="0.25">
      <c r="A40" s="2" t="s">
        <v>40</v>
      </c>
      <c r="B40" s="8">
        <v>912490</v>
      </c>
      <c r="C40" s="8">
        <v>583855</v>
      </c>
    </row>
    <row r="41" spans="1:3" x14ac:dyDescent="0.25">
      <c r="A41" s="2" t="s">
        <v>41</v>
      </c>
      <c r="B41" s="8">
        <v>1742062</v>
      </c>
      <c r="C41" s="8">
        <v>1017742</v>
      </c>
    </row>
    <row r="42" spans="1:3" x14ac:dyDescent="0.25">
      <c r="A42" s="2" t="s">
        <v>42</v>
      </c>
      <c r="B42" s="8">
        <v>1663858</v>
      </c>
      <c r="C42" s="8">
        <v>1275703</v>
      </c>
    </row>
    <row r="43" spans="1:3" x14ac:dyDescent="0.25">
      <c r="A43" s="2" t="s">
        <v>43</v>
      </c>
      <c r="B43" s="8">
        <v>1185494</v>
      </c>
      <c r="C43" s="8">
        <v>1008335</v>
      </c>
    </row>
    <row r="44" spans="1:3" x14ac:dyDescent="0.25">
      <c r="A44" s="2" t="s">
        <v>44</v>
      </c>
      <c r="B44" s="8">
        <v>1019481</v>
      </c>
      <c r="C44" s="8">
        <v>747733</v>
      </c>
    </row>
    <row r="45" spans="1:3" x14ac:dyDescent="0.25">
      <c r="A45" s="2" t="s">
        <v>45</v>
      </c>
      <c r="B45" s="8">
        <v>2080770</v>
      </c>
      <c r="C45" s="8">
        <v>1407178</v>
      </c>
    </row>
    <row r="46" spans="1:3" x14ac:dyDescent="0.25">
      <c r="A46" s="2" t="s">
        <v>46</v>
      </c>
      <c r="B46" s="8">
        <v>2062770</v>
      </c>
      <c r="C46" s="8">
        <v>1493988</v>
      </c>
    </row>
    <row r="47" spans="1:3" x14ac:dyDescent="0.25">
      <c r="A47" s="2" t="s">
        <v>47</v>
      </c>
      <c r="B47" s="8">
        <v>1395768</v>
      </c>
      <c r="C47" s="8">
        <v>1121021</v>
      </c>
    </row>
    <row r="48" spans="1:3" x14ac:dyDescent="0.25">
      <c r="A48" s="2" t="s">
        <v>48</v>
      </c>
      <c r="B48" s="8">
        <v>-326044</v>
      </c>
      <c r="C48" s="8">
        <v>-511355</v>
      </c>
    </row>
    <row r="49" spans="1:3" x14ac:dyDescent="0.25">
      <c r="A49" s="2" t="s">
        <v>49</v>
      </c>
      <c r="B49" s="8">
        <v>-3517502</v>
      </c>
      <c r="C49" s="8">
        <v>-5691876</v>
      </c>
    </row>
    <row r="50" spans="1:3" x14ac:dyDescent="0.25">
      <c r="A50" s="2" t="s">
        <v>50</v>
      </c>
      <c r="B50" s="8">
        <v>-2292385</v>
      </c>
      <c r="C50" s="8">
        <v>-5381342</v>
      </c>
    </row>
    <row r="51" spans="1:3" x14ac:dyDescent="0.25">
      <c r="A51" s="2" t="s">
        <v>51</v>
      </c>
      <c r="B51" s="8">
        <v>-1736877</v>
      </c>
      <c r="C51" s="8">
        <v>-792997</v>
      </c>
    </row>
    <row r="52" spans="1:3" x14ac:dyDescent="0.25">
      <c r="A52" s="2" t="s">
        <v>52</v>
      </c>
      <c r="B52" s="8">
        <v>-2494911</v>
      </c>
      <c r="C52" s="8">
        <v>-1181408</v>
      </c>
    </row>
    <row r="53" spans="1:3" x14ac:dyDescent="0.25">
      <c r="A53" s="2" t="s">
        <v>53</v>
      </c>
      <c r="B53" s="8">
        <v>-534558</v>
      </c>
      <c r="C53" s="8">
        <v>641091</v>
      </c>
    </row>
    <row r="54" spans="1:3" x14ac:dyDescent="0.25">
      <c r="A54" s="2" t="s">
        <v>54</v>
      </c>
      <c r="B54" s="8">
        <v>552729</v>
      </c>
      <c r="C54" s="8">
        <v>1196545</v>
      </c>
    </row>
    <row r="55" spans="1:3" x14ac:dyDescent="0.25">
      <c r="A55" s="2" t="s">
        <v>55</v>
      </c>
      <c r="B55" s="8">
        <v>396369</v>
      </c>
      <c r="C55" s="8">
        <v>-373073</v>
      </c>
    </row>
    <row r="56" spans="1:3" x14ac:dyDescent="0.25">
      <c r="A56" s="2" t="s">
        <v>56</v>
      </c>
      <c r="B56" s="8">
        <v>-684114</v>
      </c>
      <c r="C56" s="8">
        <v>-905584</v>
      </c>
    </row>
    <row r="57" spans="1:3" x14ac:dyDescent="0.25">
      <c r="A57" s="2" t="s">
        <v>57</v>
      </c>
      <c r="B57" s="8">
        <v>1654695</v>
      </c>
      <c r="C57" s="8">
        <v>798789</v>
      </c>
    </row>
    <row r="58" spans="1:3" x14ac:dyDescent="0.25">
      <c r="A58" s="2" t="s">
        <v>58</v>
      </c>
      <c r="B58" s="8">
        <v>1587727</v>
      </c>
      <c r="C58" s="8">
        <v>759316</v>
      </c>
    </row>
    <row r="59" spans="1:3" x14ac:dyDescent="0.25">
      <c r="A59" s="2" t="s">
        <v>59</v>
      </c>
      <c r="B59" s="8">
        <v>1520451</v>
      </c>
      <c r="C59" s="8">
        <v>927752</v>
      </c>
    </row>
    <row r="60" spans="1:3" x14ac:dyDescent="0.25">
      <c r="A60" s="2" t="s">
        <v>77</v>
      </c>
      <c r="B60" s="8">
        <v>40909498</v>
      </c>
      <c r="C60" s="8">
        <v>23851766</v>
      </c>
    </row>
    <row r="208" spans="2:4" x14ac:dyDescent="0.25">
      <c r="B208" s="1" t="s">
        <v>76</v>
      </c>
      <c r="C208" t="s">
        <v>78</v>
      </c>
      <c r="D208" t="s">
        <v>84</v>
      </c>
    </row>
    <row r="209" spans="2:4" x14ac:dyDescent="0.25">
      <c r="B209" s="2" t="s">
        <v>3</v>
      </c>
      <c r="C209" s="7">
        <v>45.366666666666667</v>
      </c>
      <c r="D209" s="7">
        <v>-337084</v>
      </c>
    </row>
    <row r="210" spans="2:4" x14ac:dyDescent="0.25">
      <c r="B210" s="2" t="s">
        <v>5</v>
      </c>
      <c r="C210" s="7">
        <v>62.44</v>
      </c>
      <c r="D210" s="7">
        <v>-159039</v>
      </c>
    </row>
    <row r="211" spans="2:4" x14ac:dyDescent="0.25">
      <c r="B211" s="2" t="s">
        <v>6</v>
      </c>
      <c r="C211" s="7">
        <v>70.006666666666661</v>
      </c>
      <c r="D211" s="7">
        <v>67033</v>
      </c>
    </row>
    <row r="212" spans="2:4" x14ac:dyDescent="0.25">
      <c r="B212" s="2" t="s">
        <v>7</v>
      </c>
      <c r="C212" s="7">
        <v>77.88</v>
      </c>
      <c r="D212" s="7">
        <v>-91765</v>
      </c>
    </row>
    <row r="213" spans="2:4" x14ac:dyDescent="0.25">
      <c r="B213" s="2" t="s">
        <v>8</v>
      </c>
      <c r="C213" s="7">
        <v>78.77</v>
      </c>
      <c r="D213" s="7">
        <v>107161</v>
      </c>
    </row>
    <row r="214" spans="2:4" x14ac:dyDescent="0.25">
      <c r="B214" s="2" t="s">
        <v>9</v>
      </c>
      <c r="C214" s="7">
        <v>78.583333333333329</v>
      </c>
      <c r="D214" s="7">
        <v>920561</v>
      </c>
    </row>
    <row r="215" spans="2:4" x14ac:dyDescent="0.25">
      <c r="B215" s="2" t="s">
        <v>10</v>
      </c>
      <c r="C215" s="7">
        <v>76.946666666666673</v>
      </c>
      <c r="D215" s="7">
        <v>1197653</v>
      </c>
    </row>
    <row r="216" spans="2:4" x14ac:dyDescent="0.25">
      <c r="B216" s="2" t="s">
        <v>11</v>
      </c>
      <c r="C216" s="7">
        <v>85.64</v>
      </c>
      <c r="D216" s="7">
        <v>390405</v>
      </c>
    </row>
    <row r="217" spans="2:4" x14ac:dyDescent="0.25">
      <c r="B217" s="2" t="s">
        <v>12</v>
      </c>
      <c r="C217" s="7">
        <v>98.626666666666665</v>
      </c>
      <c r="D217" s="7">
        <v>-74431</v>
      </c>
    </row>
    <row r="218" spans="2:4" x14ac:dyDescent="0.25">
      <c r="B218" s="2" t="s">
        <v>13</v>
      </c>
      <c r="C218" s="7">
        <v>104.01666666666667</v>
      </c>
      <c r="D218" s="7">
        <v>633968</v>
      </c>
    </row>
    <row r="219" spans="2:4" x14ac:dyDescent="0.25">
      <c r="B219" s="2" t="s">
        <v>14</v>
      </c>
      <c r="C219" s="7">
        <v>87.903333333333336</v>
      </c>
      <c r="D219" s="7">
        <v>866109</v>
      </c>
    </row>
    <row r="220" spans="2:4" x14ac:dyDescent="0.25">
      <c r="B220" s="2" t="s">
        <v>15</v>
      </c>
      <c r="C220" s="7">
        <v>97.46</v>
      </c>
      <c r="D220" s="7">
        <v>819171</v>
      </c>
    </row>
    <row r="221" spans="2:4" x14ac:dyDescent="0.25">
      <c r="B221" s="2" t="s">
        <v>16</v>
      </c>
      <c r="C221" s="7">
        <v>102.85666666666667</v>
      </c>
      <c r="D221" s="7">
        <v>381641</v>
      </c>
    </row>
    <row r="222" spans="2:4" x14ac:dyDescent="0.25">
      <c r="B222" s="2" t="s">
        <v>17</v>
      </c>
      <c r="C222" s="7">
        <v>92.12</v>
      </c>
      <c r="D222" s="7">
        <v>337484</v>
      </c>
    </row>
    <row r="223" spans="2:4" x14ac:dyDescent="0.25">
      <c r="B223" s="2" t="s">
        <v>18</v>
      </c>
      <c r="C223" s="7">
        <v>92.24</v>
      </c>
      <c r="D223" s="7">
        <v>1461050</v>
      </c>
    </row>
    <row r="224" spans="2:4" x14ac:dyDescent="0.25">
      <c r="B224" s="2" t="s">
        <v>19</v>
      </c>
      <c r="C224" s="7">
        <v>88.99</v>
      </c>
      <c r="D224" s="7">
        <v>468302</v>
      </c>
    </row>
    <row r="225" spans="2:4" x14ac:dyDescent="0.25">
      <c r="B225" s="2" t="s">
        <v>20</v>
      </c>
      <c r="C225" s="7">
        <v>95.59</v>
      </c>
      <c r="D225" s="7">
        <v>322621</v>
      </c>
    </row>
    <row r="226" spans="2:4" x14ac:dyDescent="0.25">
      <c r="B226" s="2" t="s">
        <v>21</v>
      </c>
      <c r="C226" s="7">
        <v>93.99666666666667</v>
      </c>
      <c r="D226" s="7">
        <v>948977</v>
      </c>
    </row>
    <row r="227" spans="2:4" x14ac:dyDescent="0.25">
      <c r="B227" s="2" t="s">
        <v>22</v>
      </c>
      <c r="C227" s="7">
        <v>105.00333333333333</v>
      </c>
      <c r="D227" s="7">
        <v>1696529</v>
      </c>
    </row>
    <row r="228" spans="2:4" x14ac:dyDescent="0.25">
      <c r="B228" s="2" t="s">
        <v>23</v>
      </c>
      <c r="C228" s="7">
        <v>95.84</v>
      </c>
      <c r="D228" s="7">
        <v>869555</v>
      </c>
    </row>
    <row r="229" spans="2:4" x14ac:dyDescent="0.25">
      <c r="B229" s="2" t="s">
        <v>24</v>
      </c>
      <c r="C229" s="7">
        <v>100.55333333333333</v>
      </c>
      <c r="D229" s="7">
        <v>671904</v>
      </c>
    </row>
    <row r="230" spans="2:4" x14ac:dyDescent="0.25">
      <c r="B230" s="2" t="s">
        <v>25</v>
      </c>
      <c r="C230" s="7">
        <v>102.60666666666667</v>
      </c>
      <c r="D230" s="7">
        <v>1615666</v>
      </c>
    </row>
    <row r="231" spans="2:4" x14ac:dyDescent="0.25">
      <c r="B231" s="2" t="s">
        <v>26</v>
      </c>
      <c r="C231" s="7">
        <v>95.096666666666664</v>
      </c>
      <c r="D231" s="7">
        <v>1409299</v>
      </c>
    </row>
    <row r="232" spans="2:4" x14ac:dyDescent="0.25">
      <c r="B232" s="2" t="s">
        <v>27</v>
      </c>
      <c r="C232" s="7">
        <v>66.653333333333336</v>
      </c>
      <c r="D232" s="7">
        <v>-772361</v>
      </c>
    </row>
    <row r="233" spans="2:4" x14ac:dyDescent="0.25">
      <c r="B233" s="2" t="s">
        <v>28</v>
      </c>
      <c r="C233" s="7">
        <v>48.533333333333331</v>
      </c>
      <c r="D233" s="7">
        <v>1404428</v>
      </c>
    </row>
    <row r="234" spans="2:4" x14ac:dyDescent="0.25">
      <c r="B234" s="2" t="s">
        <v>29</v>
      </c>
      <c r="C234" s="7">
        <v>59.8</v>
      </c>
      <c r="D234" s="7">
        <v>2496242</v>
      </c>
    </row>
    <row r="235" spans="2:4" x14ac:dyDescent="0.25">
      <c r="B235" s="2" t="s">
        <v>30</v>
      </c>
      <c r="C235" s="7">
        <v>47.13666666666667</v>
      </c>
      <c r="D235" s="7">
        <v>2222326</v>
      </c>
    </row>
    <row r="236" spans="2:4" x14ac:dyDescent="0.25">
      <c r="B236" s="2" t="s">
        <v>31</v>
      </c>
      <c r="C236" s="7">
        <v>41.76</v>
      </c>
      <c r="D236" s="7">
        <v>1721657</v>
      </c>
    </row>
    <row r="237" spans="2:4" x14ac:dyDescent="0.25">
      <c r="B237" s="2" t="s">
        <v>32</v>
      </c>
      <c r="C237" s="7">
        <v>35.236666666666665</v>
      </c>
      <c r="D237" s="7">
        <v>1544323</v>
      </c>
    </row>
    <row r="238" spans="2:4" x14ac:dyDescent="0.25">
      <c r="B238" s="2" t="s">
        <v>33</v>
      </c>
      <c r="C238" s="7">
        <v>47.783333333333331</v>
      </c>
      <c r="D238" s="7">
        <v>2423691</v>
      </c>
    </row>
    <row r="239" spans="2:4" x14ac:dyDescent="0.25">
      <c r="B239" s="2" t="s">
        <v>34</v>
      </c>
      <c r="C239" s="7">
        <v>44.846666666666671</v>
      </c>
      <c r="D239" s="7">
        <v>1979077</v>
      </c>
    </row>
    <row r="240" spans="2:4" x14ac:dyDescent="0.25">
      <c r="B240" s="2" t="s">
        <v>35</v>
      </c>
      <c r="C240" s="7">
        <v>50.006666666666668</v>
      </c>
      <c r="D240" s="7">
        <v>1029340</v>
      </c>
    </row>
    <row r="241" spans="2:4" x14ac:dyDescent="0.25">
      <c r="B241" s="2" t="s">
        <v>36</v>
      </c>
      <c r="C241" s="7">
        <v>52.473333333333336</v>
      </c>
      <c r="D241" s="7">
        <v>1067917</v>
      </c>
    </row>
    <row r="242" spans="2:4" x14ac:dyDescent="0.25">
      <c r="B242" s="2" t="s">
        <v>37</v>
      </c>
      <c r="C242" s="7">
        <v>47.856666666666669</v>
      </c>
      <c r="D242" s="7">
        <v>2036048</v>
      </c>
    </row>
    <row r="243" spans="2:4" x14ac:dyDescent="0.25">
      <c r="B243" s="2" t="s">
        <v>38</v>
      </c>
      <c r="C243" s="7">
        <v>49.69</v>
      </c>
      <c r="D243" s="7">
        <v>1847431</v>
      </c>
    </row>
    <row r="244" spans="2:4" x14ac:dyDescent="0.25">
      <c r="B244" s="2" t="s">
        <v>39</v>
      </c>
      <c r="C244" s="7">
        <v>57.4</v>
      </c>
      <c r="D244" s="7">
        <v>1198336</v>
      </c>
    </row>
    <row r="245" spans="2:4" x14ac:dyDescent="0.25">
      <c r="B245" s="2" t="s">
        <v>40</v>
      </c>
      <c r="C245" s="7">
        <v>63.77</v>
      </c>
      <c r="D245" s="7">
        <v>912490</v>
      </c>
    </row>
    <row r="246" spans="2:4" x14ac:dyDescent="0.25">
      <c r="B246" s="2" t="s">
        <v>41</v>
      </c>
      <c r="C246" s="7">
        <v>69.92</v>
      </c>
      <c r="D246" s="7">
        <v>1742062</v>
      </c>
    </row>
    <row r="247" spans="2:4" x14ac:dyDescent="0.25">
      <c r="B247" s="2" t="s">
        <v>42</v>
      </c>
      <c r="C247" s="7">
        <v>70.785633333333337</v>
      </c>
      <c r="D247" s="7">
        <v>1663858</v>
      </c>
    </row>
    <row r="248" spans="2:4" x14ac:dyDescent="0.25">
      <c r="B248" s="2" t="s">
        <v>43</v>
      </c>
      <c r="C248" s="7">
        <v>53.883333333333333</v>
      </c>
      <c r="D248" s="7">
        <v>1185494</v>
      </c>
    </row>
    <row r="249" spans="2:4" x14ac:dyDescent="0.25">
      <c r="B249" s="2" t="s">
        <v>44</v>
      </c>
      <c r="C249" s="7">
        <v>57.05</v>
      </c>
      <c r="D249" s="7">
        <v>1019481</v>
      </c>
    </row>
    <row r="250" spans="2:4" x14ac:dyDescent="0.25">
      <c r="B250" s="2" t="s">
        <v>45</v>
      </c>
      <c r="C250" s="7">
        <v>58.956699999999998</v>
      </c>
      <c r="D250" s="7">
        <v>2080770</v>
      </c>
    </row>
    <row r="251" spans="2:4" x14ac:dyDescent="0.25">
      <c r="B251" s="2" t="s">
        <v>46</v>
      </c>
      <c r="C251" s="7">
        <v>55.916666666666664</v>
      </c>
      <c r="D251" s="7">
        <v>2062770</v>
      </c>
    </row>
    <row r="252" spans="2:4" x14ac:dyDescent="0.25">
      <c r="B252" s="2" t="s">
        <v>47</v>
      </c>
      <c r="C252" s="7">
        <v>56.807600000000001</v>
      </c>
      <c r="D252" s="7">
        <v>1395768</v>
      </c>
    </row>
    <row r="253" spans="2:4" x14ac:dyDescent="0.25">
      <c r="B253" s="2" t="s">
        <v>48</v>
      </c>
      <c r="C253" s="7">
        <v>38.93333333333333</v>
      </c>
      <c r="D253" s="7">
        <v>-326044</v>
      </c>
    </row>
    <row r="254" spans="2:4" x14ac:dyDescent="0.25">
      <c r="B254" s="2" t="s">
        <v>49</v>
      </c>
      <c r="C254" s="7">
        <v>31.200000000000003</v>
      </c>
      <c r="D254" s="7">
        <v>-3517502</v>
      </c>
    </row>
    <row r="255" spans="2:4" x14ac:dyDescent="0.25">
      <c r="B255" s="2" t="s">
        <v>50</v>
      </c>
      <c r="C255" s="7">
        <v>41.033333333333331</v>
      </c>
      <c r="D255" s="7">
        <v>-2292385</v>
      </c>
    </row>
    <row r="256" spans="2:4" x14ac:dyDescent="0.25">
      <c r="B256" s="2" t="s">
        <v>51</v>
      </c>
      <c r="C256" s="7">
        <v>43.216666666666669</v>
      </c>
      <c r="D256" s="7">
        <v>-1736877</v>
      </c>
    </row>
    <row r="257" spans="2:4" x14ac:dyDescent="0.25">
      <c r="B257" s="2" t="s">
        <v>52</v>
      </c>
      <c r="C257" s="7">
        <v>57.62</v>
      </c>
      <c r="D257" s="7">
        <v>-2494911</v>
      </c>
    </row>
    <row r="258" spans="2:4" x14ac:dyDescent="0.25">
      <c r="B258" s="2" t="s">
        <v>53</v>
      </c>
      <c r="C258" s="7">
        <v>67.993333333333339</v>
      </c>
      <c r="D258" s="7">
        <v>-534558</v>
      </c>
    </row>
    <row r="259" spans="2:4" x14ac:dyDescent="0.25">
      <c r="B259" s="2" t="s">
        <v>54</v>
      </c>
      <c r="C259" s="7">
        <v>72.493333333333339</v>
      </c>
      <c r="D259" s="7">
        <v>552729</v>
      </c>
    </row>
    <row r="260" spans="2:4" x14ac:dyDescent="0.25">
      <c r="B260" s="2" t="s">
        <v>55</v>
      </c>
      <c r="C260" s="7">
        <v>74.17</v>
      </c>
      <c r="D260" s="7">
        <v>396369</v>
      </c>
    </row>
    <row r="261" spans="2:4" x14ac:dyDescent="0.25">
      <c r="B261" s="2" t="s">
        <v>56</v>
      </c>
      <c r="C261" s="7">
        <v>92.836666666666659</v>
      </c>
      <c r="D261" s="7">
        <v>-684114</v>
      </c>
    </row>
    <row r="262" spans="2:4" x14ac:dyDescent="0.25">
      <c r="B262" s="2" t="s">
        <v>57</v>
      </c>
      <c r="C262" s="7">
        <v>105.98333333333333</v>
      </c>
      <c r="D262" s="7">
        <v>1654695</v>
      </c>
    </row>
    <row r="263" spans="2:4" x14ac:dyDescent="0.25">
      <c r="B263" s="2" t="s">
        <v>58</v>
      </c>
      <c r="C263" s="7">
        <v>88.166666666666671</v>
      </c>
      <c r="D263" s="7">
        <v>1587727</v>
      </c>
    </row>
    <row r="264" spans="2:4" x14ac:dyDescent="0.25">
      <c r="B264" s="2" t="s">
        <v>59</v>
      </c>
      <c r="C264" s="7">
        <v>82.17</v>
      </c>
      <c r="D264" s="7">
        <v>1520451</v>
      </c>
    </row>
    <row r="265" spans="2:4" x14ac:dyDescent="0.25">
      <c r="B265" s="2" t="s">
        <v>77</v>
      </c>
      <c r="C265" s="7">
        <v>3960.6166000000003</v>
      </c>
      <c r="D265" s="7">
        <v>40909498</v>
      </c>
    </row>
    <row r="315" spans="2:8" x14ac:dyDescent="0.25">
      <c r="C315" s="1" t="s">
        <v>83</v>
      </c>
    </row>
    <row r="316" spans="2:8" x14ac:dyDescent="0.25">
      <c r="C316" t="s">
        <v>62</v>
      </c>
      <c r="F316" t="s">
        <v>85</v>
      </c>
      <c r="G316" t="s">
        <v>86</v>
      </c>
      <c r="H316" t="s">
        <v>111</v>
      </c>
    </row>
    <row r="317" spans="2:8" x14ac:dyDescent="0.25">
      <c r="B317" s="1" t="s">
        <v>76</v>
      </c>
      <c r="C317" t="s">
        <v>84</v>
      </c>
      <c r="D317" t="s">
        <v>87</v>
      </c>
      <c r="E317" t="s">
        <v>112</v>
      </c>
    </row>
    <row r="318" spans="2:8" x14ac:dyDescent="0.25">
      <c r="B318" s="2" t="s">
        <v>106</v>
      </c>
      <c r="C318" s="7">
        <v>6654403</v>
      </c>
      <c r="D318" s="7">
        <v>61591220</v>
      </c>
      <c r="E318" s="5">
        <v>0.10804142213776574</v>
      </c>
      <c r="F318" s="7">
        <v>6654403</v>
      </c>
      <c r="G318" s="7">
        <v>61591220</v>
      </c>
      <c r="H318" s="5">
        <v>0.10804142213776574</v>
      </c>
    </row>
    <row r="319" spans="2:8" x14ac:dyDescent="0.25">
      <c r="B319" s="2" t="s">
        <v>104</v>
      </c>
      <c r="C319" s="7">
        <v>17043400</v>
      </c>
      <c r="D319" s="7">
        <v>208875697</v>
      </c>
      <c r="E319" s="5">
        <v>8.159589767879985E-2</v>
      </c>
      <c r="F319" s="7">
        <v>17043400</v>
      </c>
      <c r="G319" s="7">
        <v>208875697</v>
      </c>
      <c r="H319" s="5">
        <v>8.159589767879985E-2</v>
      </c>
    </row>
    <row r="320" spans="2:8" x14ac:dyDescent="0.25">
      <c r="B320" s="2" t="s">
        <v>105</v>
      </c>
      <c r="C320" s="7">
        <v>10242606</v>
      </c>
      <c r="D320" s="7">
        <v>137718907</v>
      </c>
      <c r="E320" s="5">
        <v>7.4373273961577405E-2</v>
      </c>
      <c r="F320" s="7">
        <v>10242606</v>
      </c>
      <c r="G320" s="7">
        <v>137718907</v>
      </c>
      <c r="H320" s="5">
        <v>7.4373273961577405E-2</v>
      </c>
    </row>
    <row r="321" spans="2:8" x14ac:dyDescent="0.25">
      <c r="B321" s="2" t="s">
        <v>103</v>
      </c>
      <c r="C321" s="7">
        <v>6969089</v>
      </c>
      <c r="D321" s="7">
        <v>103755803</v>
      </c>
      <c r="E321" s="5">
        <v>6.716818528212827E-2</v>
      </c>
      <c r="F321" s="7">
        <v>6969089</v>
      </c>
      <c r="G321" s="7">
        <v>103755803</v>
      </c>
      <c r="H321" s="5">
        <v>6.716818528212827E-2</v>
      </c>
    </row>
    <row r="322" spans="2:8" x14ac:dyDescent="0.25">
      <c r="B322" s="2" t="s">
        <v>77</v>
      </c>
      <c r="C322" s="7">
        <v>40909498</v>
      </c>
      <c r="D322" s="7">
        <v>511941627</v>
      </c>
      <c r="E322" s="5">
        <v>7.9910473855645259E-2</v>
      </c>
      <c r="F322" s="7">
        <v>40909498</v>
      </c>
      <c r="G322" s="7">
        <v>511941627</v>
      </c>
      <c r="H322" s="5">
        <v>7.9910473855645259E-2</v>
      </c>
    </row>
    <row r="370" spans="2:3" x14ac:dyDescent="0.25">
      <c r="B370" s="1" t="s">
        <v>76</v>
      </c>
      <c r="C370" t="s">
        <v>87</v>
      </c>
    </row>
    <row r="371" spans="2:3" x14ac:dyDescent="0.25">
      <c r="B371" s="2" t="s">
        <v>61</v>
      </c>
      <c r="C371" s="7">
        <v>17089211</v>
      </c>
    </row>
    <row r="372" spans="2:3" x14ac:dyDescent="0.25">
      <c r="B372" s="2" t="s">
        <v>68</v>
      </c>
      <c r="C372" s="7">
        <v>24981992</v>
      </c>
    </row>
    <row r="373" spans="2:3" x14ac:dyDescent="0.25">
      <c r="B373" s="2" t="s">
        <v>60</v>
      </c>
      <c r="C373" s="7">
        <v>28748645</v>
      </c>
    </row>
    <row r="374" spans="2:3" x14ac:dyDescent="0.25">
      <c r="B374" s="2" t="s">
        <v>67</v>
      </c>
      <c r="C374" s="7">
        <v>31826265</v>
      </c>
    </row>
    <row r="375" spans="2:3" x14ac:dyDescent="0.25">
      <c r="B375" s="2" t="s">
        <v>66</v>
      </c>
      <c r="C375" s="7">
        <v>80026901</v>
      </c>
    </row>
    <row r="376" spans="2:3" x14ac:dyDescent="0.25">
      <c r="B376" s="2" t="s">
        <v>65</v>
      </c>
      <c r="C376" s="7">
        <v>81786288</v>
      </c>
    </row>
    <row r="377" spans="2:3" x14ac:dyDescent="0.25">
      <c r="B377" s="2" t="s">
        <v>64</v>
      </c>
      <c r="C377" s="7">
        <v>243285408</v>
      </c>
    </row>
    <row r="378" spans="2:3" x14ac:dyDescent="0.25">
      <c r="B378" s="2" t="s">
        <v>4</v>
      </c>
      <c r="C378" s="7">
        <v>446401682</v>
      </c>
    </row>
    <row r="379" spans="2:3" x14ac:dyDescent="0.25">
      <c r="B379" s="2" t="s">
        <v>63</v>
      </c>
      <c r="C379" s="7">
        <v>453207144</v>
      </c>
    </row>
    <row r="380" spans="2:3" x14ac:dyDescent="0.25">
      <c r="B380" s="2" t="s">
        <v>62</v>
      </c>
      <c r="C380" s="7">
        <v>511941627</v>
      </c>
    </row>
    <row r="381" spans="2:3" x14ac:dyDescent="0.25">
      <c r="B381" s="2" t="s">
        <v>77</v>
      </c>
      <c r="C381" s="7">
        <v>1919295163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61DDD-D351-4224-9DD7-75CFBED337BB}">
  <sheetPr>
    <tabColor rgb="FFFF0000"/>
  </sheetPr>
  <dimension ref="A1"/>
  <sheetViews>
    <sheetView showGridLines="0" showRowColHeaders="0" tabSelected="1" zoomScale="80" zoomScaleNormal="80" workbookViewId="0">
      <selection activeCell="O52" sqref="O52"/>
    </sheetView>
  </sheetViews>
  <sheetFormatPr defaultRowHeight="15" x14ac:dyDescent="0.25"/>
  <cols>
    <col min="1" max="16384" width="9.140625" style="3"/>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0352B-BC7E-4329-A0E4-771781772458}">
  <sheetPr>
    <tabColor rgb="FF00B0F0"/>
  </sheetPr>
  <dimension ref="A1:J561"/>
  <sheetViews>
    <sheetView workbookViewId="0">
      <selection activeCell="D7" sqref="D7"/>
    </sheetView>
  </sheetViews>
  <sheetFormatPr defaultRowHeight="15" x14ac:dyDescent="0.25"/>
  <cols>
    <col min="1" max="1" width="11.7109375" bestFit="1" customWidth="1"/>
    <col min="2" max="2" width="17.42578125" bestFit="1" customWidth="1"/>
    <col min="3" max="3" width="13.85546875" bestFit="1" customWidth="1"/>
    <col min="4" max="4" width="13.28515625" bestFit="1" customWidth="1"/>
    <col min="5" max="5" width="20.42578125" bestFit="1" customWidth="1"/>
    <col min="6" max="6" width="19.7109375" bestFit="1" customWidth="1"/>
    <col min="7" max="7" width="11.5703125" bestFit="1" customWidth="1"/>
    <col min="8" max="8" width="14.85546875" bestFit="1" customWidth="1"/>
    <col min="9" max="9" width="12.85546875" bestFit="1" customWidth="1"/>
    <col min="10" max="10" width="21.42578125" bestFit="1" customWidth="1"/>
    <col min="11" max="12" width="14.42578125" bestFit="1" customWidth="1"/>
  </cols>
  <sheetData>
    <row r="1" spans="1:10" x14ac:dyDescent="0.25">
      <c r="A1" t="s">
        <v>75</v>
      </c>
      <c r="B1" t="s">
        <v>1</v>
      </c>
      <c r="C1" t="s">
        <v>2</v>
      </c>
      <c r="D1" t="s">
        <v>69</v>
      </c>
      <c r="E1" t="s">
        <v>70</v>
      </c>
      <c r="F1" t="s">
        <v>71</v>
      </c>
      <c r="G1" t="s">
        <v>72</v>
      </c>
      <c r="H1" t="s">
        <v>80</v>
      </c>
      <c r="I1" t="s">
        <v>102</v>
      </c>
      <c r="J1" t="s">
        <v>110</v>
      </c>
    </row>
    <row r="2" spans="1:10" x14ac:dyDescent="0.25">
      <c r="A2">
        <v>2</v>
      </c>
      <c r="B2" t="s">
        <v>4</v>
      </c>
      <c r="C2">
        <v>-389835</v>
      </c>
      <c r="D2">
        <v>85.423333333333332</v>
      </c>
      <c r="E2">
        <v>4885283</v>
      </c>
      <c r="F2">
        <v>-259408</v>
      </c>
      <c r="G2">
        <v>1163954774</v>
      </c>
      <c r="H2" t="s">
        <v>81</v>
      </c>
      <c r="I2" t="s">
        <v>104</v>
      </c>
      <c r="J2">
        <v>1163954.774</v>
      </c>
    </row>
    <row r="3" spans="1:10" x14ac:dyDescent="0.25">
      <c r="A3">
        <v>2</v>
      </c>
      <c r="B3" t="s">
        <v>66</v>
      </c>
      <c r="C3">
        <v>25723</v>
      </c>
      <c r="D3">
        <v>79.106666666666669</v>
      </c>
      <c r="E3">
        <v>749221</v>
      </c>
      <c r="F3">
        <v>31359</v>
      </c>
      <c r="G3">
        <v>122315952</v>
      </c>
      <c r="H3" t="s">
        <v>81</v>
      </c>
      <c r="I3" t="s">
        <v>104</v>
      </c>
      <c r="J3">
        <v>122315.952</v>
      </c>
    </row>
    <row r="4" spans="1:10" x14ac:dyDescent="0.25">
      <c r="A4">
        <v>2</v>
      </c>
      <c r="B4" t="s">
        <v>65</v>
      </c>
      <c r="C4">
        <v>20495</v>
      </c>
      <c r="D4">
        <v>80.516666666666666</v>
      </c>
      <c r="E4">
        <v>807162</v>
      </c>
      <c r="F4">
        <v>64083.92</v>
      </c>
      <c r="G4">
        <v>226840604</v>
      </c>
      <c r="H4" t="s">
        <v>81</v>
      </c>
      <c r="I4" t="s">
        <v>104</v>
      </c>
      <c r="J4">
        <v>226840.60399999999</v>
      </c>
    </row>
    <row r="5" spans="1:10" x14ac:dyDescent="0.25">
      <c r="A5">
        <v>2</v>
      </c>
      <c r="B5" t="s">
        <v>62</v>
      </c>
      <c r="C5">
        <v>-264344</v>
      </c>
      <c r="D5">
        <v>86.98</v>
      </c>
      <c r="E5">
        <v>4560316</v>
      </c>
      <c r="F5">
        <v>-159039</v>
      </c>
      <c r="G5">
        <v>1172884952</v>
      </c>
      <c r="H5" t="s">
        <v>81</v>
      </c>
      <c r="I5" t="s">
        <v>104</v>
      </c>
      <c r="J5">
        <v>1172884.952</v>
      </c>
    </row>
    <row r="6" spans="1:10" x14ac:dyDescent="0.25">
      <c r="A6">
        <v>2</v>
      </c>
      <c r="B6" t="s">
        <v>68</v>
      </c>
      <c r="C6">
        <v>7208</v>
      </c>
      <c r="D6">
        <v>82.86333333333333</v>
      </c>
      <c r="E6">
        <v>275609</v>
      </c>
      <c r="F6">
        <v>26280.05</v>
      </c>
      <c r="G6">
        <v>60049253</v>
      </c>
      <c r="H6" t="s">
        <v>81</v>
      </c>
      <c r="I6" t="s">
        <v>104</v>
      </c>
      <c r="J6">
        <v>60049.252999999997</v>
      </c>
    </row>
    <row r="7" spans="1:10" x14ac:dyDescent="0.25">
      <c r="A7">
        <v>2</v>
      </c>
      <c r="B7" t="s">
        <v>61</v>
      </c>
      <c r="C7">
        <v>32979</v>
      </c>
      <c r="D7">
        <v>90.82</v>
      </c>
      <c r="E7">
        <v>142158</v>
      </c>
      <c r="F7">
        <v>33849</v>
      </c>
      <c r="G7">
        <v>45149026</v>
      </c>
      <c r="H7" t="s">
        <v>81</v>
      </c>
      <c r="I7" t="s">
        <v>104</v>
      </c>
      <c r="J7">
        <v>45149.025999999998</v>
      </c>
    </row>
    <row r="8" spans="1:10" x14ac:dyDescent="0.25">
      <c r="A8">
        <v>2</v>
      </c>
      <c r="B8" t="s">
        <v>60</v>
      </c>
      <c r="C8">
        <v>28214</v>
      </c>
      <c r="D8">
        <v>86.653333333333336</v>
      </c>
      <c r="E8">
        <v>292031</v>
      </c>
      <c r="F8">
        <v>32542.66</v>
      </c>
      <c r="G8">
        <v>52065016</v>
      </c>
      <c r="H8" t="s">
        <v>81</v>
      </c>
      <c r="I8" t="s">
        <v>104</v>
      </c>
      <c r="J8">
        <v>52065.016000000003</v>
      </c>
    </row>
    <row r="9" spans="1:10" x14ac:dyDescent="0.25">
      <c r="A9">
        <v>2</v>
      </c>
      <c r="B9" t="s">
        <v>67</v>
      </c>
      <c r="C9">
        <v>22818</v>
      </c>
      <c r="D9">
        <v>82.243333333333339</v>
      </c>
      <c r="E9">
        <v>180407</v>
      </c>
      <c r="F9">
        <v>34681</v>
      </c>
      <c r="G9">
        <v>42743000</v>
      </c>
      <c r="H9" t="s">
        <v>81</v>
      </c>
      <c r="I9" t="s">
        <v>104</v>
      </c>
      <c r="J9">
        <v>42743</v>
      </c>
    </row>
    <row r="10" spans="1:10" x14ac:dyDescent="0.25">
      <c r="A10">
        <v>2</v>
      </c>
      <c r="B10" t="s">
        <v>63</v>
      </c>
      <c r="C10">
        <v>30782</v>
      </c>
      <c r="D10">
        <v>86.516666666666666</v>
      </c>
      <c r="E10">
        <v>4020052</v>
      </c>
      <c r="F10">
        <v>172174</v>
      </c>
      <c r="G10">
        <v>782707780</v>
      </c>
      <c r="H10" t="s">
        <v>81</v>
      </c>
      <c r="I10" t="s">
        <v>104</v>
      </c>
      <c r="J10">
        <v>782707.78</v>
      </c>
    </row>
    <row r="11" spans="1:10" x14ac:dyDescent="0.25">
      <c r="A11">
        <v>2</v>
      </c>
      <c r="B11" t="s">
        <v>64</v>
      </c>
      <c r="C11">
        <v>90720</v>
      </c>
      <c r="D11">
        <v>77.043333333333337</v>
      </c>
      <c r="E11">
        <v>2615964</v>
      </c>
      <c r="F11">
        <v>123099</v>
      </c>
      <c r="G11">
        <v>691349106</v>
      </c>
      <c r="H11" t="s">
        <v>81</v>
      </c>
      <c r="I11" t="s">
        <v>104</v>
      </c>
      <c r="J11">
        <v>691349.10600000003</v>
      </c>
    </row>
    <row r="12" spans="1:10" x14ac:dyDescent="0.25">
      <c r="A12">
        <v>3</v>
      </c>
      <c r="B12" t="s">
        <v>4</v>
      </c>
      <c r="C12">
        <v>-376810</v>
      </c>
      <c r="D12">
        <v>85.183333333333337</v>
      </c>
      <c r="E12">
        <v>5122153</v>
      </c>
      <c r="F12">
        <v>-245897</v>
      </c>
      <c r="G12">
        <v>1270369512</v>
      </c>
      <c r="H12" t="s">
        <v>81</v>
      </c>
      <c r="I12" t="s">
        <v>104</v>
      </c>
      <c r="J12">
        <v>1270369.5120000001</v>
      </c>
    </row>
    <row r="13" spans="1:10" x14ac:dyDescent="0.25">
      <c r="A13">
        <v>3</v>
      </c>
      <c r="B13" t="s">
        <v>66</v>
      </c>
      <c r="C13">
        <v>77312</v>
      </c>
      <c r="D13">
        <v>82.023333333333341</v>
      </c>
      <c r="E13">
        <v>858940</v>
      </c>
      <c r="F13">
        <v>144603</v>
      </c>
      <c r="G13">
        <v>148005291</v>
      </c>
      <c r="H13" t="s">
        <v>81</v>
      </c>
      <c r="I13" t="s">
        <v>104</v>
      </c>
      <c r="J13">
        <v>148005.291</v>
      </c>
    </row>
    <row r="14" spans="1:10" x14ac:dyDescent="0.25">
      <c r="A14">
        <v>3</v>
      </c>
      <c r="B14" t="s">
        <v>65</v>
      </c>
      <c r="C14">
        <v>14831</v>
      </c>
      <c r="D14">
        <v>83.99666666666667</v>
      </c>
      <c r="E14">
        <v>855531</v>
      </c>
      <c r="F14">
        <v>66257.52</v>
      </c>
      <c r="G14">
        <v>245603348</v>
      </c>
      <c r="H14" t="s">
        <v>81</v>
      </c>
      <c r="I14" t="s">
        <v>104</v>
      </c>
      <c r="J14">
        <v>245603.348</v>
      </c>
    </row>
    <row r="15" spans="1:10" x14ac:dyDescent="0.25">
      <c r="A15">
        <v>3</v>
      </c>
      <c r="B15" t="s">
        <v>62</v>
      </c>
      <c r="C15">
        <v>-87359</v>
      </c>
      <c r="D15">
        <v>88.03</v>
      </c>
      <c r="E15">
        <v>4795666</v>
      </c>
      <c r="F15">
        <v>67033</v>
      </c>
      <c r="G15">
        <v>1217848205</v>
      </c>
      <c r="H15" t="s">
        <v>81</v>
      </c>
      <c r="I15" t="s">
        <v>104</v>
      </c>
      <c r="J15">
        <v>1217848.2050000001</v>
      </c>
    </row>
    <row r="16" spans="1:10" x14ac:dyDescent="0.25">
      <c r="A16">
        <v>3</v>
      </c>
      <c r="B16" t="s">
        <v>68</v>
      </c>
      <c r="C16">
        <v>286779</v>
      </c>
      <c r="D16">
        <v>87.283333333333331</v>
      </c>
      <c r="E16">
        <v>301432</v>
      </c>
      <c r="F16">
        <v>31054.87</v>
      </c>
      <c r="G16">
        <v>72138140</v>
      </c>
      <c r="H16" t="s">
        <v>81</v>
      </c>
      <c r="I16" t="s">
        <v>104</v>
      </c>
      <c r="J16">
        <v>72138.14</v>
      </c>
    </row>
    <row r="17" spans="1:10" x14ac:dyDescent="0.25">
      <c r="A17">
        <v>3</v>
      </c>
      <c r="B17" t="s">
        <v>61</v>
      </c>
      <c r="C17">
        <v>17236</v>
      </c>
      <c r="D17">
        <v>89.86666666666666</v>
      </c>
      <c r="E17">
        <v>127478</v>
      </c>
      <c r="F17">
        <v>18299</v>
      </c>
      <c r="G17">
        <v>47985455</v>
      </c>
      <c r="H17" t="s">
        <v>81</v>
      </c>
      <c r="I17" t="s">
        <v>104</v>
      </c>
      <c r="J17">
        <v>47985.455000000002</v>
      </c>
    </row>
    <row r="18" spans="1:10" x14ac:dyDescent="0.25">
      <c r="A18">
        <v>3</v>
      </c>
      <c r="B18" t="s">
        <v>60</v>
      </c>
      <c r="C18">
        <v>31342</v>
      </c>
      <c r="D18">
        <v>86.446666666666658</v>
      </c>
      <c r="E18">
        <v>305664</v>
      </c>
      <c r="F18">
        <v>24463.42</v>
      </c>
      <c r="G18">
        <v>65644814</v>
      </c>
      <c r="H18" t="s">
        <v>81</v>
      </c>
      <c r="I18" t="s">
        <v>104</v>
      </c>
      <c r="J18">
        <v>65644.813999999998</v>
      </c>
    </row>
    <row r="19" spans="1:10" x14ac:dyDescent="0.25">
      <c r="A19">
        <v>3</v>
      </c>
      <c r="B19" t="s">
        <v>67</v>
      </c>
      <c r="C19">
        <v>14281</v>
      </c>
      <c r="D19">
        <v>83.296666666666667</v>
      </c>
      <c r="E19">
        <v>178608</v>
      </c>
      <c r="F19">
        <v>25938</v>
      </c>
      <c r="G19">
        <v>53201000</v>
      </c>
      <c r="H19" t="s">
        <v>81</v>
      </c>
      <c r="I19" t="s">
        <v>104</v>
      </c>
      <c r="J19">
        <v>53201</v>
      </c>
    </row>
    <row r="20" spans="1:10" x14ac:dyDescent="0.25">
      <c r="A20">
        <v>3</v>
      </c>
      <c r="B20" t="s">
        <v>63</v>
      </c>
      <c r="C20">
        <v>-54342</v>
      </c>
      <c r="D20">
        <v>86.563333333333333</v>
      </c>
      <c r="E20">
        <v>4435164</v>
      </c>
      <c r="F20">
        <v>130159</v>
      </c>
      <c r="G20">
        <v>960760482</v>
      </c>
      <c r="H20" t="s">
        <v>81</v>
      </c>
      <c r="I20" t="s">
        <v>104</v>
      </c>
      <c r="J20">
        <v>960760.48199999996</v>
      </c>
    </row>
    <row r="21" spans="1:10" x14ac:dyDescent="0.25">
      <c r="A21">
        <v>3</v>
      </c>
      <c r="B21" t="s">
        <v>64</v>
      </c>
      <c r="C21">
        <v>-16179</v>
      </c>
      <c r="D21">
        <v>79.38</v>
      </c>
      <c r="E21">
        <v>2665584</v>
      </c>
      <c r="F21">
        <v>22177</v>
      </c>
      <c r="G21">
        <v>786032423</v>
      </c>
      <c r="H21" t="s">
        <v>81</v>
      </c>
      <c r="I21" t="s">
        <v>104</v>
      </c>
      <c r="J21">
        <v>786032.42299999995</v>
      </c>
    </row>
    <row r="22" spans="1:10" x14ac:dyDescent="0.25">
      <c r="A22">
        <v>4</v>
      </c>
      <c r="B22" t="s">
        <v>4</v>
      </c>
      <c r="C22">
        <v>-343475</v>
      </c>
      <c r="D22">
        <v>81.926666666666662</v>
      </c>
      <c r="E22">
        <v>5056817</v>
      </c>
      <c r="F22">
        <v>-430899</v>
      </c>
      <c r="G22">
        <v>1279900027</v>
      </c>
      <c r="H22" t="s">
        <v>81</v>
      </c>
      <c r="I22" t="s">
        <v>104</v>
      </c>
      <c r="J22">
        <v>1279900.027</v>
      </c>
    </row>
    <row r="23" spans="1:10" x14ac:dyDescent="0.25">
      <c r="A23">
        <v>5</v>
      </c>
      <c r="B23" t="s">
        <v>4</v>
      </c>
      <c r="C23">
        <v>-488786</v>
      </c>
      <c r="D23">
        <v>78.86666666666666</v>
      </c>
      <c r="E23">
        <v>5062980</v>
      </c>
      <c r="F23">
        <v>-321986</v>
      </c>
      <c r="G23">
        <v>1301968079</v>
      </c>
      <c r="H23" t="s">
        <v>81</v>
      </c>
      <c r="I23" t="s">
        <v>104</v>
      </c>
      <c r="J23">
        <v>1301968.0789999999</v>
      </c>
    </row>
    <row r="24" spans="1:10" x14ac:dyDescent="0.25">
      <c r="A24">
        <v>6</v>
      </c>
      <c r="B24" t="s">
        <v>4</v>
      </c>
      <c r="C24">
        <v>-6818</v>
      </c>
      <c r="D24">
        <v>86.066666666666663</v>
      </c>
      <c r="E24">
        <v>5669264</v>
      </c>
      <c r="F24">
        <v>159526</v>
      </c>
      <c r="G24">
        <v>1434209451</v>
      </c>
      <c r="H24" t="s">
        <v>81</v>
      </c>
      <c r="I24" t="s">
        <v>104</v>
      </c>
      <c r="J24">
        <v>1434209.4509999999</v>
      </c>
    </row>
    <row r="25" spans="1:10" x14ac:dyDescent="0.25">
      <c r="A25">
        <v>7</v>
      </c>
      <c r="B25" t="s">
        <v>4</v>
      </c>
      <c r="C25">
        <v>128583</v>
      </c>
      <c r="D25">
        <v>84.96</v>
      </c>
      <c r="E25">
        <v>5837486</v>
      </c>
      <c r="F25">
        <v>290520</v>
      </c>
      <c r="G25">
        <v>1386611085</v>
      </c>
      <c r="H25" t="s">
        <v>81</v>
      </c>
      <c r="I25" t="s">
        <v>104</v>
      </c>
      <c r="J25">
        <v>1386611.085</v>
      </c>
    </row>
    <row r="26" spans="1:10" x14ac:dyDescent="0.25">
      <c r="A26">
        <v>4</v>
      </c>
      <c r="B26" t="s">
        <v>66</v>
      </c>
      <c r="C26">
        <v>18691</v>
      </c>
      <c r="D26">
        <v>80.180000000000007</v>
      </c>
      <c r="E26">
        <v>744701</v>
      </c>
      <c r="F26">
        <v>25648</v>
      </c>
      <c r="G26">
        <v>150875137</v>
      </c>
      <c r="H26" t="s">
        <v>81</v>
      </c>
      <c r="I26" t="s">
        <v>104</v>
      </c>
      <c r="J26">
        <v>150875.13699999999</v>
      </c>
    </row>
    <row r="27" spans="1:10" x14ac:dyDescent="0.25">
      <c r="A27">
        <v>4</v>
      </c>
      <c r="B27" t="s">
        <v>65</v>
      </c>
      <c r="C27">
        <v>11456</v>
      </c>
      <c r="D27">
        <v>80.36</v>
      </c>
      <c r="E27">
        <v>831830</v>
      </c>
      <c r="F27">
        <v>63484.69</v>
      </c>
      <c r="G27">
        <v>227034909</v>
      </c>
      <c r="H27" t="s">
        <v>81</v>
      </c>
      <c r="I27" t="s">
        <v>104</v>
      </c>
      <c r="J27">
        <v>227034.90900000001</v>
      </c>
    </row>
    <row r="28" spans="1:10" x14ac:dyDescent="0.25">
      <c r="A28">
        <v>4</v>
      </c>
      <c r="B28" t="s">
        <v>62</v>
      </c>
      <c r="C28">
        <v>-47803</v>
      </c>
      <c r="D28">
        <v>82.49</v>
      </c>
      <c r="E28">
        <v>4458506</v>
      </c>
      <c r="F28">
        <v>-91765</v>
      </c>
      <c r="G28">
        <v>1004245752</v>
      </c>
      <c r="H28" t="s">
        <v>81</v>
      </c>
      <c r="I28" t="s">
        <v>104</v>
      </c>
      <c r="J28">
        <v>1004245.752</v>
      </c>
    </row>
    <row r="29" spans="1:10" x14ac:dyDescent="0.25">
      <c r="A29">
        <v>4</v>
      </c>
      <c r="B29" t="s">
        <v>68</v>
      </c>
      <c r="C29">
        <v>-9777</v>
      </c>
      <c r="D29">
        <v>78.903333333333336</v>
      </c>
      <c r="E29">
        <v>272437</v>
      </c>
      <c r="F29">
        <v>-12589.37</v>
      </c>
      <c r="G29">
        <v>79304228</v>
      </c>
      <c r="H29" t="s">
        <v>81</v>
      </c>
      <c r="I29" t="s">
        <v>104</v>
      </c>
      <c r="J29">
        <v>79304.228000000003</v>
      </c>
    </row>
    <row r="30" spans="1:10" x14ac:dyDescent="0.25">
      <c r="A30">
        <v>4</v>
      </c>
      <c r="B30" t="s">
        <v>61</v>
      </c>
      <c r="C30">
        <v>14174</v>
      </c>
      <c r="D30">
        <v>90.176666666666662</v>
      </c>
      <c r="E30">
        <v>129820</v>
      </c>
      <c r="F30">
        <v>15163</v>
      </c>
      <c r="G30">
        <v>49447773</v>
      </c>
      <c r="H30" t="s">
        <v>81</v>
      </c>
      <c r="I30" t="s">
        <v>104</v>
      </c>
      <c r="J30">
        <v>49447.773000000001</v>
      </c>
    </row>
    <row r="31" spans="1:10" x14ac:dyDescent="0.25">
      <c r="A31">
        <v>4</v>
      </c>
      <c r="B31" t="s">
        <v>60</v>
      </c>
      <c r="C31">
        <v>36049</v>
      </c>
      <c r="D31">
        <v>85.316666666666663</v>
      </c>
      <c r="E31">
        <v>297243</v>
      </c>
      <c r="F31">
        <v>17178.809999999998</v>
      </c>
      <c r="G31">
        <v>67457983</v>
      </c>
      <c r="H31" t="s">
        <v>81</v>
      </c>
      <c r="I31" t="s">
        <v>104</v>
      </c>
      <c r="J31">
        <v>67457.982999999993</v>
      </c>
    </row>
    <row r="32" spans="1:10" x14ac:dyDescent="0.25">
      <c r="A32">
        <v>4</v>
      </c>
      <c r="B32" t="s">
        <v>67</v>
      </c>
      <c r="C32">
        <v>27884</v>
      </c>
      <c r="D32">
        <v>79.39</v>
      </c>
      <c r="E32">
        <v>170994</v>
      </c>
      <c r="F32">
        <v>20106</v>
      </c>
      <c r="G32">
        <v>45947000</v>
      </c>
      <c r="H32" t="s">
        <v>81</v>
      </c>
      <c r="I32" t="s">
        <v>104</v>
      </c>
      <c r="J32">
        <v>45947</v>
      </c>
    </row>
    <row r="33" spans="1:10" x14ac:dyDescent="0.25">
      <c r="A33">
        <v>4</v>
      </c>
      <c r="B33" t="s">
        <v>63</v>
      </c>
      <c r="C33">
        <v>-224113</v>
      </c>
      <c r="D33">
        <v>82.973333333333329</v>
      </c>
      <c r="E33">
        <v>4210448</v>
      </c>
      <c r="F33">
        <v>81644</v>
      </c>
      <c r="G33">
        <v>916534377</v>
      </c>
      <c r="H33" t="s">
        <v>81</v>
      </c>
      <c r="I33" t="s">
        <v>104</v>
      </c>
      <c r="J33">
        <v>916534.37699999998</v>
      </c>
    </row>
    <row r="34" spans="1:10" x14ac:dyDescent="0.25">
      <c r="A34">
        <v>4</v>
      </c>
      <c r="B34" t="s">
        <v>64</v>
      </c>
      <c r="C34">
        <v>115790</v>
      </c>
      <c r="D34">
        <v>77.303333333333327</v>
      </c>
      <c r="E34">
        <v>2712217</v>
      </c>
      <c r="F34">
        <v>166716</v>
      </c>
      <c r="G34">
        <v>758083595</v>
      </c>
      <c r="H34" t="s">
        <v>81</v>
      </c>
      <c r="I34" t="s">
        <v>104</v>
      </c>
      <c r="J34">
        <v>758083.59499999997</v>
      </c>
    </row>
    <row r="35" spans="1:10" x14ac:dyDescent="0.25">
      <c r="A35">
        <v>5</v>
      </c>
      <c r="B35" t="s">
        <v>66</v>
      </c>
      <c r="C35">
        <v>10749</v>
      </c>
      <c r="D35">
        <v>79.936666666666667</v>
      </c>
      <c r="E35">
        <v>737612</v>
      </c>
      <c r="F35">
        <v>38000</v>
      </c>
      <c r="G35">
        <v>152121928</v>
      </c>
      <c r="H35" t="s">
        <v>81</v>
      </c>
      <c r="I35" t="s">
        <v>104</v>
      </c>
      <c r="J35">
        <v>152121.92800000001</v>
      </c>
    </row>
    <row r="36" spans="1:10" x14ac:dyDescent="0.25">
      <c r="A36">
        <v>5</v>
      </c>
      <c r="B36" t="s">
        <v>65</v>
      </c>
      <c r="C36">
        <v>-1398</v>
      </c>
      <c r="D36">
        <v>76.873333333333335</v>
      </c>
      <c r="E36">
        <v>869619</v>
      </c>
      <c r="F36">
        <v>41576.050000000003</v>
      </c>
      <c r="G36">
        <v>254493606</v>
      </c>
      <c r="H36" t="s">
        <v>81</v>
      </c>
      <c r="I36" t="s">
        <v>104</v>
      </c>
      <c r="J36">
        <v>254493.606</v>
      </c>
    </row>
    <row r="37" spans="1:10" x14ac:dyDescent="0.25">
      <c r="A37">
        <v>5</v>
      </c>
      <c r="B37" t="s">
        <v>62</v>
      </c>
      <c r="C37">
        <v>-260733</v>
      </c>
      <c r="D37">
        <v>81.42</v>
      </c>
      <c r="E37">
        <v>6879207</v>
      </c>
      <c r="F37">
        <v>107161</v>
      </c>
      <c r="G37">
        <v>1548361228</v>
      </c>
      <c r="H37" t="s">
        <v>81</v>
      </c>
      <c r="I37" t="s">
        <v>104</v>
      </c>
      <c r="J37">
        <v>1548361.2279999999</v>
      </c>
    </row>
    <row r="38" spans="1:10" x14ac:dyDescent="0.25">
      <c r="A38">
        <v>5</v>
      </c>
      <c r="B38" t="s">
        <v>68</v>
      </c>
      <c r="C38">
        <v>-13554</v>
      </c>
      <c r="D38">
        <v>74.756666666666675</v>
      </c>
      <c r="E38">
        <v>269795</v>
      </c>
      <c r="F38">
        <v>-21888.5</v>
      </c>
      <c r="G38">
        <v>86275535</v>
      </c>
      <c r="H38" t="s">
        <v>81</v>
      </c>
      <c r="I38" t="s">
        <v>104</v>
      </c>
      <c r="J38">
        <v>86275.535000000003</v>
      </c>
    </row>
    <row r="39" spans="1:10" x14ac:dyDescent="0.25">
      <c r="A39">
        <v>5</v>
      </c>
      <c r="B39" t="s">
        <v>61</v>
      </c>
      <c r="C39">
        <v>31915</v>
      </c>
      <c r="D39">
        <v>91.55</v>
      </c>
      <c r="E39">
        <v>163657</v>
      </c>
      <c r="F39">
        <v>32688</v>
      </c>
      <c r="G39">
        <v>61472352</v>
      </c>
      <c r="H39" t="s">
        <v>81</v>
      </c>
      <c r="I39" t="s">
        <v>104</v>
      </c>
      <c r="J39">
        <v>61472.351999999999</v>
      </c>
    </row>
    <row r="40" spans="1:10" x14ac:dyDescent="0.25">
      <c r="A40">
        <v>24</v>
      </c>
      <c r="B40" t="s">
        <v>4</v>
      </c>
      <c r="C40">
        <v>178177</v>
      </c>
      <c r="D40">
        <v>82.49</v>
      </c>
      <c r="E40">
        <v>6464080</v>
      </c>
      <c r="F40">
        <v>344535</v>
      </c>
      <c r="G40">
        <v>1482134906</v>
      </c>
      <c r="H40" t="s">
        <v>81</v>
      </c>
      <c r="I40" t="s">
        <v>104</v>
      </c>
      <c r="J40">
        <v>1482134.906</v>
      </c>
    </row>
    <row r="41" spans="1:10" x14ac:dyDescent="0.25">
      <c r="A41">
        <v>5</v>
      </c>
      <c r="B41" t="s">
        <v>60</v>
      </c>
      <c r="C41">
        <v>1572</v>
      </c>
      <c r="D41">
        <v>84.453333333333333</v>
      </c>
      <c r="E41">
        <v>298389</v>
      </c>
      <c r="F41">
        <v>6965.49</v>
      </c>
      <c r="G41">
        <v>67133683</v>
      </c>
      <c r="H41" t="s">
        <v>81</v>
      </c>
      <c r="I41" t="s">
        <v>104</v>
      </c>
      <c r="J41">
        <v>67133.683000000005</v>
      </c>
    </row>
    <row r="42" spans="1:10" x14ac:dyDescent="0.25">
      <c r="A42">
        <v>5</v>
      </c>
      <c r="B42" t="s">
        <v>67</v>
      </c>
      <c r="C42">
        <v>11277</v>
      </c>
      <c r="D42">
        <v>81.81</v>
      </c>
      <c r="E42">
        <v>184051</v>
      </c>
      <c r="F42">
        <v>24125</v>
      </c>
      <c r="G42">
        <v>53856000</v>
      </c>
      <c r="H42" t="s">
        <v>81</v>
      </c>
      <c r="I42" t="s">
        <v>104</v>
      </c>
      <c r="J42">
        <v>53856</v>
      </c>
    </row>
    <row r="43" spans="1:10" x14ac:dyDescent="0.25">
      <c r="A43">
        <v>5</v>
      </c>
      <c r="B43" t="s">
        <v>63</v>
      </c>
      <c r="C43">
        <v>-74098</v>
      </c>
      <c r="D43">
        <v>81.596666666666664</v>
      </c>
      <c r="E43">
        <v>4243006</v>
      </c>
      <c r="F43">
        <v>94503</v>
      </c>
      <c r="G43">
        <v>938719391</v>
      </c>
      <c r="H43" t="s">
        <v>81</v>
      </c>
      <c r="I43" t="s">
        <v>104</v>
      </c>
      <c r="J43">
        <v>938719.39099999995</v>
      </c>
    </row>
    <row r="44" spans="1:10" x14ac:dyDescent="0.25">
      <c r="A44">
        <v>26</v>
      </c>
      <c r="B44" t="s">
        <v>4</v>
      </c>
      <c r="C44">
        <v>1051543</v>
      </c>
      <c r="D44">
        <v>86.28</v>
      </c>
      <c r="E44">
        <v>6818839</v>
      </c>
      <c r="F44">
        <v>1205547.3</v>
      </c>
      <c r="G44">
        <v>1149257064</v>
      </c>
      <c r="H44" t="s">
        <v>81</v>
      </c>
      <c r="I44" t="s">
        <v>104</v>
      </c>
      <c r="J44">
        <v>1149257.064</v>
      </c>
    </row>
    <row r="45" spans="1:10" x14ac:dyDescent="0.25">
      <c r="A45">
        <v>5</v>
      </c>
      <c r="B45" t="s">
        <v>64</v>
      </c>
      <c r="C45">
        <v>10788</v>
      </c>
      <c r="D45">
        <v>75.653333333333336</v>
      </c>
      <c r="E45">
        <v>2630038</v>
      </c>
      <c r="F45">
        <v>54478</v>
      </c>
      <c r="G45">
        <v>783040831</v>
      </c>
      <c r="H45" t="s">
        <v>81</v>
      </c>
      <c r="I45" t="s">
        <v>104</v>
      </c>
      <c r="J45">
        <v>783040.83100000001</v>
      </c>
    </row>
    <row r="46" spans="1:10" x14ac:dyDescent="0.25">
      <c r="A46">
        <v>6</v>
      </c>
      <c r="B46" t="s">
        <v>66</v>
      </c>
      <c r="C46">
        <v>60301</v>
      </c>
      <c r="D46">
        <v>82.416666666666671</v>
      </c>
      <c r="E46">
        <v>872413</v>
      </c>
      <c r="F46">
        <v>135559</v>
      </c>
      <c r="G46">
        <v>175586335</v>
      </c>
      <c r="H46" t="s">
        <v>81</v>
      </c>
      <c r="I46" t="s">
        <v>104</v>
      </c>
      <c r="J46">
        <v>175586.33499999999</v>
      </c>
    </row>
    <row r="47" spans="1:10" x14ac:dyDescent="0.25">
      <c r="A47">
        <v>6</v>
      </c>
      <c r="B47" t="s">
        <v>65</v>
      </c>
      <c r="C47">
        <v>30801</v>
      </c>
      <c r="D47">
        <v>82.94</v>
      </c>
      <c r="E47">
        <v>940188</v>
      </c>
      <c r="F47">
        <v>94786.25</v>
      </c>
      <c r="G47">
        <v>278864290</v>
      </c>
      <c r="H47" t="s">
        <v>81</v>
      </c>
      <c r="I47" t="s">
        <v>104</v>
      </c>
      <c r="J47">
        <v>278864.28999999998</v>
      </c>
    </row>
    <row r="48" spans="1:10" x14ac:dyDescent="0.25">
      <c r="A48">
        <v>6</v>
      </c>
      <c r="B48" t="s">
        <v>62</v>
      </c>
      <c r="C48">
        <v>459576</v>
      </c>
      <c r="D48">
        <v>86.843333333333334</v>
      </c>
      <c r="E48">
        <v>8205193</v>
      </c>
      <c r="F48">
        <v>920561</v>
      </c>
      <c r="G48">
        <v>1809776297</v>
      </c>
      <c r="H48" t="s">
        <v>81</v>
      </c>
      <c r="I48" t="s">
        <v>104</v>
      </c>
      <c r="J48">
        <v>1809776.297</v>
      </c>
    </row>
    <row r="49" spans="1:10" x14ac:dyDescent="0.25">
      <c r="A49">
        <v>6</v>
      </c>
      <c r="B49" t="s">
        <v>68</v>
      </c>
      <c r="C49">
        <v>-1486</v>
      </c>
      <c r="D49">
        <v>85.72</v>
      </c>
      <c r="E49">
        <v>316200</v>
      </c>
      <c r="F49">
        <v>-166.70000000000005</v>
      </c>
      <c r="G49">
        <v>106028030</v>
      </c>
      <c r="H49" t="s">
        <v>81</v>
      </c>
      <c r="I49" t="s">
        <v>104</v>
      </c>
      <c r="J49">
        <v>106028.03</v>
      </c>
    </row>
    <row r="50" spans="1:10" x14ac:dyDescent="0.25">
      <c r="A50">
        <v>6</v>
      </c>
      <c r="B50" t="s">
        <v>61</v>
      </c>
      <c r="C50">
        <v>21789</v>
      </c>
      <c r="D50">
        <v>91.823333333333338</v>
      </c>
      <c r="E50">
        <v>160115</v>
      </c>
      <c r="F50">
        <v>22312</v>
      </c>
      <c r="G50">
        <v>66421881</v>
      </c>
      <c r="H50" t="s">
        <v>81</v>
      </c>
      <c r="I50" t="s">
        <v>104</v>
      </c>
      <c r="J50">
        <v>66421.880999999994</v>
      </c>
    </row>
    <row r="51" spans="1:10" x14ac:dyDescent="0.25">
      <c r="A51">
        <v>6</v>
      </c>
      <c r="B51" t="s">
        <v>60</v>
      </c>
      <c r="C51">
        <v>9877</v>
      </c>
      <c r="D51">
        <v>86.076666666666668</v>
      </c>
      <c r="E51">
        <v>315923</v>
      </c>
      <c r="F51">
        <v>24910.16</v>
      </c>
      <c r="G51">
        <v>75386679</v>
      </c>
      <c r="H51" t="s">
        <v>81</v>
      </c>
      <c r="I51" t="s">
        <v>104</v>
      </c>
      <c r="J51">
        <v>75386.679000000004</v>
      </c>
    </row>
    <row r="52" spans="1:10" x14ac:dyDescent="0.25">
      <c r="A52">
        <v>6</v>
      </c>
      <c r="B52" t="s">
        <v>67</v>
      </c>
      <c r="C52">
        <v>-59312</v>
      </c>
      <c r="D52">
        <v>81.183333333333337</v>
      </c>
      <c r="E52">
        <v>173395</v>
      </c>
      <c r="F52">
        <v>-2172</v>
      </c>
      <c r="G52">
        <v>60695000</v>
      </c>
      <c r="H52" t="s">
        <v>81</v>
      </c>
      <c r="I52" t="s">
        <v>104</v>
      </c>
      <c r="J52">
        <v>60695</v>
      </c>
    </row>
    <row r="53" spans="1:10" x14ac:dyDescent="0.25">
      <c r="A53">
        <v>6</v>
      </c>
      <c r="B53" t="s">
        <v>63</v>
      </c>
      <c r="C53">
        <v>280790</v>
      </c>
      <c r="D53">
        <v>86.816666666666663</v>
      </c>
      <c r="E53">
        <v>5162802</v>
      </c>
      <c r="F53">
        <v>524924</v>
      </c>
      <c r="G53">
        <v>1106298049</v>
      </c>
      <c r="H53" t="s">
        <v>81</v>
      </c>
      <c r="I53" t="s">
        <v>104</v>
      </c>
      <c r="J53">
        <v>1106298.0490000001</v>
      </c>
    </row>
    <row r="54" spans="1:10" x14ac:dyDescent="0.25">
      <c r="A54">
        <v>6</v>
      </c>
      <c r="B54" t="s">
        <v>64</v>
      </c>
      <c r="C54">
        <v>112214</v>
      </c>
      <c r="D54">
        <v>79.319999999999993</v>
      </c>
      <c r="E54">
        <v>3168317</v>
      </c>
      <c r="F54">
        <v>362769</v>
      </c>
      <c r="G54">
        <v>893349762</v>
      </c>
      <c r="H54" t="s">
        <v>81</v>
      </c>
      <c r="I54" t="s">
        <v>104</v>
      </c>
      <c r="J54">
        <v>893349.76199999999</v>
      </c>
    </row>
    <row r="55" spans="1:10" x14ac:dyDescent="0.25">
      <c r="A55">
        <v>32</v>
      </c>
      <c r="B55" t="s">
        <v>4</v>
      </c>
      <c r="C55">
        <v>340583</v>
      </c>
      <c r="D55">
        <v>84.123333333333335</v>
      </c>
      <c r="E55">
        <v>9785949</v>
      </c>
      <c r="F55">
        <v>791407.43</v>
      </c>
      <c r="G55">
        <v>1259803638</v>
      </c>
      <c r="H55" t="s">
        <v>81</v>
      </c>
      <c r="I55" t="s">
        <v>104</v>
      </c>
      <c r="J55">
        <v>1259803.638</v>
      </c>
    </row>
    <row r="56" spans="1:10" x14ac:dyDescent="0.25">
      <c r="A56">
        <v>7</v>
      </c>
      <c r="B56" t="s">
        <v>66</v>
      </c>
      <c r="C56">
        <v>116142</v>
      </c>
      <c r="D56">
        <v>84.96</v>
      </c>
      <c r="E56">
        <v>956147</v>
      </c>
      <c r="F56">
        <v>191558</v>
      </c>
      <c r="G56">
        <v>185882871</v>
      </c>
      <c r="H56" t="s">
        <v>81</v>
      </c>
      <c r="I56" t="s">
        <v>104</v>
      </c>
      <c r="J56">
        <v>185882.87100000001</v>
      </c>
    </row>
    <row r="57" spans="1:10" x14ac:dyDescent="0.25">
      <c r="A57">
        <v>7</v>
      </c>
      <c r="B57" t="s">
        <v>65</v>
      </c>
      <c r="C57">
        <v>58209</v>
      </c>
      <c r="D57">
        <v>84.773333333333326</v>
      </c>
      <c r="E57">
        <v>1031700</v>
      </c>
      <c r="F57">
        <v>147680.19</v>
      </c>
      <c r="G57">
        <v>292167539</v>
      </c>
      <c r="H57" t="s">
        <v>81</v>
      </c>
      <c r="I57" t="s">
        <v>104</v>
      </c>
      <c r="J57">
        <v>292167.53899999999</v>
      </c>
    </row>
    <row r="58" spans="1:10" x14ac:dyDescent="0.25">
      <c r="A58">
        <v>33</v>
      </c>
      <c r="B58" t="s">
        <v>4</v>
      </c>
      <c r="C58">
        <v>262590</v>
      </c>
      <c r="D58">
        <v>82.35</v>
      </c>
      <c r="E58">
        <v>9620621</v>
      </c>
      <c r="F58">
        <v>603777.14</v>
      </c>
      <c r="G58">
        <v>1316998181</v>
      </c>
      <c r="H58" t="s">
        <v>81</v>
      </c>
      <c r="I58" t="s">
        <v>104</v>
      </c>
      <c r="J58">
        <v>1316998.1810000001</v>
      </c>
    </row>
    <row r="59" spans="1:10" x14ac:dyDescent="0.25">
      <c r="A59">
        <v>7</v>
      </c>
      <c r="B59" t="s">
        <v>62</v>
      </c>
      <c r="C59">
        <v>388696</v>
      </c>
      <c r="D59">
        <v>86.316666666666663</v>
      </c>
      <c r="E59">
        <v>8987339</v>
      </c>
      <c r="F59">
        <v>1197653</v>
      </c>
      <c r="G59">
        <v>1958613863</v>
      </c>
      <c r="H59" t="s">
        <v>81</v>
      </c>
      <c r="I59" t="s">
        <v>104</v>
      </c>
      <c r="J59">
        <v>1958613.8629999999</v>
      </c>
    </row>
    <row r="60" spans="1:10" x14ac:dyDescent="0.25">
      <c r="A60">
        <v>7</v>
      </c>
      <c r="B60" t="s">
        <v>68</v>
      </c>
      <c r="C60">
        <v>9556</v>
      </c>
      <c r="D60">
        <v>87.55</v>
      </c>
      <c r="E60">
        <v>346103</v>
      </c>
      <c r="F60">
        <v>17565.8</v>
      </c>
      <c r="G60">
        <v>138654427</v>
      </c>
      <c r="H60" t="s">
        <v>81</v>
      </c>
      <c r="I60" t="s">
        <v>104</v>
      </c>
      <c r="J60">
        <v>138654.427</v>
      </c>
    </row>
    <row r="61" spans="1:10" x14ac:dyDescent="0.25">
      <c r="A61">
        <v>7</v>
      </c>
      <c r="B61" t="s">
        <v>61</v>
      </c>
      <c r="C61">
        <v>14085</v>
      </c>
      <c r="D61">
        <v>90</v>
      </c>
      <c r="E61">
        <v>155981</v>
      </c>
      <c r="F61">
        <v>14482</v>
      </c>
      <c r="G61">
        <v>65953853</v>
      </c>
      <c r="H61" t="s">
        <v>81</v>
      </c>
      <c r="I61" t="s">
        <v>104</v>
      </c>
      <c r="J61">
        <v>65953.853000000003</v>
      </c>
    </row>
    <row r="62" spans="1:10" x14ac:dyDescent="0.25">
      <c r="A62">
        <v>7</v>
      </c>
      <c r="B62" t="s">
        <v>60</v>
      </c>
      <c r="C62">
        <v>31760</v>
      </c>
      <c r="D62">
        <v>87.153333333333336</v>
      </c>
      <c r="E62">
        <v>352700</v>
      </c>
      <c r="F62">
        <v>40593.93</v>
      </c>
      <c r="G62">
        <v>80610685</v>
      </c>
      <c r="H62" t="s">
        <v>81</v>
      </c>
      <c r="I62" t="s">
        <v>104</v>
      </c>
      <c r="J62">
        <v>80610.684999999998</v>
      </c>
    </row>
    <row r="63" spans="1:10" x14ac:dyDescent="0.25">
      <c r="A63">
        <v>7</v>
      </c>
      <c r="B63" t="s">
        <v>67</v>
      </c>
      <c r="C63">
        <v>63944</v>
      </c>
      <c r="D63">
        <v>83.656666666666666</v>
      </c>
      <c r="E63">
        <v>205259</v>
      </c>
      <c r="F63">
        <v>22586</v>
      </c>
      <c r="G63">
        <v>63565000</v>
      </c>
      <c r="H63" t="s">
        <v>81</v>
      </c>
      <c r="I63" t="s">
        <v>104</v>
      </c>
      <c r="J63">
        <v>63565</v>
      </c>
    </row>
    <row r="64" spans="1:10" x14ac:dyDescent="0.25">
      <c r="A64">
        <v>52</v>
      </c>
      <c r="B64" t="s">
        <v>4</v>
      </c>
      <c r="C64">
        <v>-893185</v>
      </c>
      <c r="D64">
        <v>84.486666666666665</v>
      </c>
      <c r="E64">
        <v>9426277</v>
      </c>
      <c r="F64">
        <v>-778948.54999999993</v>
      </c>
      <c r="G64">
        <v>1614820281</v>
      </c>
      <c r="H64" t="s">
        <v>81</v>
      </c>
      <c r="I64" t="s">
        <v>104</v>
      </c>
      <c r="J64">
        <v>1614820.281</v>
      </c>
    </row>
    <row r="65" spans="1:10" x14ac:dyDescent="0.25">
      <c r="A65">
        <v>7</v>
      </c>
      <c r="B65" t="s">
        <v>63</v>
      </c>
      <c r="C65">
        <v>402531</v>
      </c>
      <c r="D65">
        <v>87.346666666666664</v>
      </c>
      <c r="E65">
        <v>5395978</v>
      </c>
      <c r="F65">
        <v>565515</v>
      </c>
      <c r="G65">
        <v>1130835007</v>
      </c>
      <c r="H65" t="s">
        <v>81</v>
      </c>
      <c r="I65" t="s">
        <v>104</v>
      </c>
      <c r="J65">
        <v>1130835.007</v>
      </c>
    </row>
    <row r="66" spans="1:10" x14ac:dyDescent="0.25">
      <c r="A66">
        <v>36</v>
      </c>
      <c r="B66" t="s">
        <v>4</v>
      </c>
      <c r="C66">
        <v>183552</v>
      </c>
      <c r="D66">
        <v>86.35</v>
      </c>
      <c r="E66">
        <v>10597491</v>
      </c>
      <c r="F66">
        <v>676583.41</v>
      </c>
      <c r="G66">
        <v>1554820331</v>
      </c>
      <c r="H66" t="s">
        <v>81</v>
      </c>
      <c r="I66" t="s">
        <v>104</v>
      </c>
      <c r="J66">
        <v>1554820.331</v>
      </c>
    </row>
    <row r="67" spans="1:10" x14ac:dyDescent="0.25">
      <c r="A67">
        <v>7</v>
      </c>
      <c r="B67" t="s">
        <v>64</v>
      </c>
      <c r="C67">
        <v>204670</v>
      </c>
      <c r="D67">
        <v>80.733333333333334</v>
      </c>
      <c r="E67">
        <v>3191758</v>
      </c>
      <c r="F67">
        <v>355056</v>
      </c>
      <c r="G67">
        <v>884503155</v>
      </c>
      <c r="H67" t="s">
        <v>81</v>
      </c>
      <c r="I67" t="s">
        <v>104</v>
      </c>
      <c r="J67">
        <v>884503.15500000003</v>
      </c>
    </row>
    <row r="68" spans="1:10" x14ac:dyDescent="0.25">
      <c r="A68">
        <v>37</v>
      </c>
      <c r="B68" t="s">
        <v>4</v>
      </c>
      <c r="C68">
        <v>236066</v>
      </c>
      <c r="D68">
        <v>83.933333333333337</v>
      </c>
      <c r="E68">
        <v>10398290</v>
      </c>
      <c r="F68">
        <v>447172.26</v>
      </c>
      <c r="G68">
        <v>1666377350</v>
      </c>
      <c r="H68" t="s">
        <v>81</v>
      </c>
      <c r="I68" t="s">
        <v>104</v>
      </c>
      <c r="J68">
        <v>1666377.35</v>
      </c>
    </row>
    <row r="69" spans="1:10" x14ac:dyDescent="0.25">
      <c r="A69">
        <v>38</v>
      </c>
      <c r="B69" t="s">
        <v>4</v>
      </c>
      <c r="C69">
        <v>618941</v>
      </c>
      <c r="D69">
        <v>86.916666666666671</v>
      </c>
      <c r="E69">
        <v>11639695</v>
      </c>
      <c r="F69">
        <v>1037383.54</v>
      </c>
      <c r="G69">
        <v>2002453602</v>
      </c>
      <c r="H69" t="s">
        <v>81</v>
      </c>
      <c r="I69" t="s">
        <v>104</v>
      </c>
      <c r="J69">
        <v>2002453.602</v>
      </c>
    </row>
    <row r="70" spans="1:10" x14ac:dyDescent="0.25">
      <c r="A70">
        <v>52</v>
      </c>
      <c r="B70" t="s">
        <v>63</v>
      </c>
      <c r="C70">
        <v>-645183</v>
      </c>
      <c r="D70">
        <v>82.763333333333335</v>
      </c>
      <c r="E70">
        <v>8191597</v>
      </c>
      <c r="F70">
        <v>-407185.65</v>
      </c>
      <c r="G70">
        <v>1510585611</v>
      </c>
      <c r="H70" t="s">
        <v>81</v>
      </c>
      <c r="I70" t="s">
        <v>104</v>
      </c>
      <c r="J70">
        <v>1510585.611</v>
      </c>
    </row>
    <row r="71" spans="1:10" x14ac:dyDescent="0.25">
      <c r="A71">
        <v>39</v>
      </c>
      <c r="B71" t="s">
        <v>4</v>
      </c>
      <c r="C71">
        <v>402575</v>
      </c>
      <c r="D71">
        <v>84.86</v>
      </c>
      <c r="E71">
        <v>11556035</v>
      </c>
      <c r="F71">
        <v>669382.78</v>
      </c>
      <c r="G71">
        <v>2126453519</v>
      </c>
      <c r="H71" t="s">
        <v>81</v>
      </c>
      <c r="I71" t="s">
        <v>104</v>
      </c>
      <c r="J71">
        <v>2126453.5189999999</v>
      </c>
    </row>
    <row r="72" spans="1:10" x14ac:dyDescent="0.25">
      <c r="A72">
        <v>40</v>
      </c>
      <c r="B72" t="s">
        <v>4</v>
      </c>
      <c r="C72">
        <v>400485</v>
      </c>
      <c r="D72">
        <v>84.436666666666667</v>
      </c>
      <c r="E72">
        <v>10935794</v>
      </c>
      <c r="F72">
        <v>569406.30000000005</v>
      </c>
      <c r="G72">
        <v>1869468014</v>
      </c>
      <c r="H72" t="s">
        <v>81</v>
      </c>
      <c r="I72" t="s">
        <v>104</v>
      </c>
      <c r="J72">
        <v>1869468.014</v>
      </c>
    </row>
    <row r="73" spans="1:10" x14ac:dyDescent="0.25">
      <c r="A73">
        <v>41</v>
      </c>
      <c r="B73" t="s">
        <v>4</v>
      </c>
      <c r="C73">
        <v>229855</v>
      </c>
      <c r="D73">
        <v>84.783333333333331</v>
      </c>
      <c r="E73">
        <v>10580585</v>
      </c>
      <c r="F73">
        <v>345380.54000000004</v>
      </c>
      <c r="G73">
        <v>1630714088</v>
      </c>
      <c r="H73" t="s">
        <v>81</v>
      </c>
      <c r="I73" t="s">
        <v>104</v>
      </c>
      <c r="J73">
        <v>1630714.088</v>
      </c>
    </row>
    <row r="74" spans="1:10" x14ac:dyDescent="0.25">
      <c r="A74">
        <v>42</v>
      </c>
      <c r="B74" t="s">
        <v>4</v>
      </c>
      <c r="C74">
        <v>713914</v>
      </c>
      <c r="D74">
        <v>89.72999999999999</v>
      </c>
      <c r="E74">
        <v>11958148</v>
      </c>
      <c r="F74">
        <v>1127083.1400000001</v>
      </c>
      <c r="G74">
        <v>1887366245</v>
      </c>
      <c r="H74" t="s">
        <v>81</v>
      </c>
      <c r="I74" t="s">
        <v>104</v>
      </c>
      <c r="J74">
        <v>1887366.2450000001</v>
      </c>
    </row>
    <row r="75" spans="1:10" x14ac:dyDescent="0.25">
      <c r="A75">
        <v>51</v>
      </c>
      <c r="B75" t="s">
        <v>4</v>
      </c>
      <c r="C75">
        <v>280351</v>
      </c>
      <c r="D75">
        <v>84.2</v>
      </c>
      <c r="E75">
        <v>8968261</v>
      </c>
      <c r="F75">
        <v>-426907.41</v>
      </c>
      <c r="G75">
        <v>1411999175</v>
      </c>
      <c r="H75" t="s">
        <v>81</v>
      </c>
      <c r="I75" t="s">
        <v>104</v>
      </c>
      <c r="J75">
        <v>1411999.175</v>
      </c>
    </row>
    <row r="76" spans="1:10" x14ac:dyDescent="0.25">
      <c r="A76">
        <v>43</v>
      </c>
      <c r="B76" t="s">
        <v>4</v>
      </c>
      <c r="C76">
        <v>507896</v>
      </c>
      <c r="D76">
        <v>87.48</v>
      </c>
      <c r="E76">
        <v>11909847</v>
      </c>
      <c r="F76">
        <v>828289.03</v>
      </c>
      <c r="G76">
        <v>1887150003</v>
      </c>
      <c r="H76" t="s">
        <v>81</v>
      </c>
      <c r="I76" t="s">
        <v>104</v>
      </c>
      <c r="J76">
        <v>1887150.003</v>
      </c>
    </row>
    <row r="77" spans="1:10" x14ac:dyDescent="0.25">
      <c r="A77">
        <v>44</v>
      </c>
      <c r="B77" t="s">
        <v>4</v>
      </c>
      <c r="C77">
        <v>520460</v>
      </c>
      <c r="D77">
        <v>85.44</v>
      </c>
      <c r="E77">
        <v>11312544</v>
      </c>
      <c r="F77">
        <v>746014.71000000008</v>
      </c>
      <c r="G77">
        <v>1727832692</v>
      </c>
      <c r="H77" t="s">
        <v>81</v>
      </c>
      <c r="I77" t="s">
        <v>104</v>
      </c>
      <c r="J77">
        <v>1727832.692</v>
      </c>
    </row>
    <row r="78" spans="1:10" x14ac:dyDescent="0.25">
      <c r="A78">
        <v>24</v>
      </c>
      <c r="B78" t="s">
        <v>62</v>
      </c>
      <c r="C78">
        <v>-702544</v>
      </c>
      <c r="D78">
        <v>85.25333333333333</v>
      </c>
      <c r="E78">
        <v>9658947</v>
      </c>
      <c r="F78">
        <v>-772361</v>
      </c>
      <c r="G78">
        <v>2089326627</v>
      </c>
      <c r="H78" t="s">
        <v>81</v>
      </c>
      <c r="I78" t="s">
        <v>104</v>
      </c>
      <c r="J78">
        <v>2089326.6270000001</v>
      </c>
    </row>
    <row r="79" spans="1:10" x14ac:dyDescent="0.25">
      <c r="A79">
        <v>24</v>
      </c>
      <c r="B79" t="s">
        <v>60</v>
      </c>
      <c r="C79">
        <v>14988</v>
      </c>
      <c r="D79">
        <v>83.606666666666669</v>
      </c>
      <c r="E79">
        <v>573681</v>
      </c>
      <c r="F79">
        <v>77448.63</v>
      </c>
      <c r="G79">
        <v>145623718</v>
      </c>
      <c r="H79" t="s">
        <v>81</v>
      </c>
      <c r="I79" t="s">
        <v>104</v>
      </c>
      <c r="J79">
        <v>145623.71799999999</v>
      </c>
    </row>
    <row r="80" spans="1:10" x14ac:dyDescent="0.25">
      <c r="A80">
        <v>26</v>
      </c>
      <c r="B80" t="s">
        <v>60</v>
      </c>
      <c r="C80">
        <v>50162</v>
      </c>
      <c r="D80">
        <v>84.506666666666661</v>
      </c>
      <c r="E80">
        <v>570254</v>
      </c>
      <c r="F80">
        <v>92376.260000000009</v>
      </c>
      <c r="G80">
        <v>107869286</v>
      </c>
      <c r="H80" t="s">
        <v>81</v>
      </c>
      <c r="I80" t="s">
        <v>104</v>
      </c>
      <c r="J80">
        <v>107869.28599999999</v>
      </c>
    </row>
    <row r="81" spans="1:10" x14ac:dyDescent="0.25">
      <c r="A81">
        <v>32</v>
      </c>
      <c r="B81" t="s">
        <v>60</v>
      </c>
      <c r="C81">
        <v>3168</v>
      </c>
      <c r="D81">
        <v>88.54</v>
      </c>
      <c r="E81">
        <v>631236</v>
      </c>
      <c r="F81">
        <v>81131.179999999993</v>
      </c>
      <c r="G81">
        <v>91760327</v>
      </c>
      <c r="H81" t="s">
        <v>81</v>
      </c>
      <c r="I81" t="s">
        <v>104</v>
      </c>
      <c r="J81">
        <v>91760.327000000005</v>
      </c>
    </row>
    <row r="82" spans="1:10" x14ac:dyDescent="0.25">
      <c r="A82">
        <v>33</v>
      </c>
      <c r="B82" t="s">
        <v>60</v>
      </c>
      <c r="C82">
        <v>38963</v>
      </c>
      <c r="D82">
        <v>87.09</v>
      </c>
      <c r="E82">
        <v>612543</v>
      </c>
      <c r="F82">
        <v>71867.049999999988</v>
      </c>
      <c r="G82">
        <v>99441345</v>
      </c>
      <c r="H82" t="s">
        <v>81</v>
      </c>
      <c r="I82" t="s">
        <v>104</v>
      </c>
      <c r="J82">
        <v>99441.345000000001</v>
      </c>
    </row>
    <row r="83" spans="1:10" x14ac:dyDescent="0.25">
      <c r="A83">
        <v>36</v>
      </c>
      <c r="B83" t="s">
        <v>60</v>
      </c>
      <c r="C83">
        <v>173197</v>
      </c>
      <c r="D83">
        <v>88.13333333333334</v>
      </c>
      <c r="E83">
        <v>683957</v>
      </c>
      <c r="F83">
        <v>102022.87</v>
      </c>
      <c r="G83">
        <v>118986916</v>
      </c>
      <c r="H83" t="s">
        <v>81</v>
      </c>
      <c r="I83" t="s">
        <v>104</v>
      </c>
      <c r="J83">
        <v>118986.916</v>
      </c>
    </row>
    <row r="84" spans="1:10" x14ac:dyDescent="0.25">
      <c r="A84">
        <v>37</v>
      </c>
      <c r="B84" t="s">
        <v>60</v>
      </c>
      <c r="C84">
        <v>29848</v>
      </c>
      <c r="D84">
        <v>85.52</v>
      </c>
      <c r="E84">
        <v>663413</v>
      </c>
      <c r="F84">
        <v>38847.78</v>
      </c>
      <c r="G84">
        <v>128572480</v>
      </c>
      <c r="H84" t="s">
        <v>81</v>
      </c>
      <c r="I84" t="s">
        <v>104</v>
      </c>
      <c r="J84">
        <v>128572.48</v>
      </c>
    </row>
    <row r="85" spans="1:10" x14ac:dyDescent="0.25">
      <c r="A85">
        <v>38</v>
      </c>
      <c r="B85" t="s">
        <v>60</v>
      </c>
      <c r="C85">
        <v>82842</v>
      </c>
      <c r="D85">
        <v>88.526666666666671</v>
      </c>
      <c r="E85">
        <v>713127</v>
      </c>
      <c r="F85">
        <v>96798.439999999988</v>
      </c>
      <c r="G85">
        <v>147267927</v>
      </c>
      <c r="H85" t="s">
        <v>81</v>
      </c>
      <c r="I85" t="s">
        <v>104</v>
      </c>
      <c r="J85">
        <v>147267.927</v>
      </c>
    </row>
    <row r="86" spans="1:10" x14ac:dyDescent="0.25">
      <c r="A86">
        <v>39</v>
      </c>
      <c r="B86" t="s">
        <v>60</v>
      </c>
      <c r="C86">
        <v>95352</v>
      </c>
      <c r="D86">
        <v>85.91</v>
      </c>
      <c r="E86">
        <v>756313</v>
      </c>
      <c r="F86">
        <v>119690.37</v>
      </c>
      <c r="G86">
        <v>157171969</v>
      </c>
      <c r="H86" t="s">
        <v>81</v>
      </c>
      <c r="I86" t="s">
        <v>104</v>
      </c>
      <c r="J86">
        <v>157171.96900000001</v>
      </c>
    </row>
    <row r="87" spans="1:10" x14ac:dyDescent="0.25">
      <c r="A87">
        <v>40</v>
      </c>
      <c r="B87" t="s">
        <v>60</v>
      </c>
      <c r="C87">
        <v>35222</v>
      </c>
      <c r="D87">
        <v>86.210000000000008</v>
      </c>
      <c r="E87">
        <v>694362</v>
      </c>
      <c r="F87">
        <v>73987.820000000007</v>
      </c>
      <c r="G87">
        <v>144660505</v>
      </c>
      <c r="H87" t="s">
        <v>81</v>
      </c>
      <c r="I87" t="s">
        <v>104</v>
      </c>
      <c r="J87">
        <v>144660.505</v>
      </c>
    </row>
    <row r="88" spans="1:10" x14ac:dyDescent="0.25">
      <c r="A88">
        <v>41</v>
      </c>
      <c r="B88" t="s">
        <v>60</v>
      </c>
      <c r="C88">
        <v>40083</v>
      </c>
      <c r="D88">
        <v>86.583333333333329</v>
      </c>
      <c r="E88">
        <v>656089</v>
      </c>
      <c r="F88">
        <v>56859.96</v>
      </c>
      <c r="G88">
        <v>121072528</v>
      </c>
      <c r="H88" t="s">
        <v>81</v>
      </c>
      <c r="I88" t="s">
        <v>104</v>
      </c>
      <c r="J88">
        <v>121072.52800000001</v>
      </c>
    </row>
    <row r="89" spans="1:10" x14ac:dyDescent="0.25">
      <c r="A89">
        <v>33</v>
      </c>
      <c r="B89" t="s">
        <v>63</v>
      </c>
      <c r="C89">
        <v>96745</v>
      </c>
      <c r="D89">
        <v>83.713333333333338</v>
      </c>
      <c r="E89">
        <v>8420115</v>
      </c>
      <c r="F89">
        <v>278363.26</v>
      </c>
      <c r="G89">
        <v>1230499297</v>
      </c>
      <c r="H89" t="s">
        <v>81</v>
      </c>
      <c r="I89" t="s">
        <v>104</v>
      </c>
      <c r="J89">
        <v>1230499.297</v>
      </c>
    </row>
    <row r="90" spans="1:10" x14ac:dyDescent="0.25">
      <c r="A90">
        <v>42</v>
      </c>
      <c r="B90" t="s">
        <v>60</v>
      </c>
      <c r="C90">
        <v>61755</v>
      </c>
      <c r="D90">
        <v>88.426666666666662</v>
      </c>
      <c r="E90">
        <v>711670</v>
      </c>
      <c r="F90">
        <v>93105.94</v>
      </c>
      <c r="G90">
        <v>135377593</v>
      </c>
      <c r="H90" t="s">
        <v>81</v>
      </c>
      <c r="I90" t="s">
        <v>104</v>
      </c>
      <c r="J90">
        <v>135377.59299999999</v>
      </c>
    </row>
    <row r="91" spans="1:10" x14ac:dyDescent="0.25">
      <c r="A91">
        <v>43</v>
      </c>
      <c r="B91" t="s">
        <v>60</v>
      </c>
      <c r="C91">
        <v>85555</v>
      </c>
      <c r="D91">
        <v>88.326666666666668</v>
      </c>
      <c r="E91">
        <v>754607</v>
      </c>
      <c r="F91">
        <v>123547.81</v>
      </c>
      <c r="G91">
        <v>133194830</v>
      </c>
      <c r="H91" t="s">
        <v>81</v>
      </c>
      <c r="I91" t="s">
        <v>104</v>
      </c>
      <c r="J91">
        <v>133194.82999999999</v>
      </c>
    </row>
    <row r="92" spans="1:10" x14ac:dyDescent="0.25">
      <c r="A92">
        <v>44</v>
      </c>
      <c r="B92" t="s">
        <v>60</v>
      </c>
      <c r="C92">
        <v>50692</v>
      </c>
      <c r="D92">
        <v>85.596666666666664</v>
      </c>
      <c r="E92">
        <v>707765</v>
      </c>
      <c r="F92">
        <v>70671.360000000001</v>
      </c>
      <c r="G92">
        <v>131769461</v>
      </c>
      <c r="H92" t="s">
        <v>81</v>
      </c>
      <c r="I92" t="s">
        <v>104</v>
      </c>
      <c r="J92">
        <v>131769.46100000001</v>
      </c>
    </row>
    <row r="93" spans="1:10" x14ac:dyDescent="0.25">
      <c r="A93">
        <v>52</v>
      </c>
      <c r="B93" t="s">
        <v>65</v>
      </c>
      <c r="C93">
        <v>-129060</v>
      </c>
      <c r="D93">
        <v>80.153333333333336</v>
      </c>
      <c r="E93">
        <v>1834112</v>
      </c>
      <c r="F93">
        <v>-121522.17</v>
      </c>
      <c r="G93">
        <v>461913641</v>
      </c>
      <c r="H93" t="s">
        <v>81</v>
      </c>
      <c r="I93" t="s">
        <v>104</v>
      </c>
      <c r="J93">
        <v>461913.641</v>
      </c>
    </row>
    <row r="94" spans="1:10" x14ac:dyDescent="0.25">
      <c r="A94">
        <v>51</v>
      </c>
      <c r="B94" t="s">
        <v>60</v>
      </c>
      <c r="C94">
        <v>16188</v>
      </c>
      <c r="D94">
        <v>78.303333333333327</v>
      </c>
      <c r="E94">
        <v>508019</v>
      </c>
      <c r="F94">
        <v>-33345.879999999997</v>
      </c>
      <c r="G94">
        <v>102545131</v>
      </c>
      <c r="H94" t="s">
        <v>81</v>
      </c>
      <c r="I94" t="s">
        <v>104</v>
      </c>
      <c r="J94">
        <v>102545.13099999999</v>
      </c>
    </row>
    <row r="95" spans="1:10" x14ac:dyDescent="0.25">
      <c r="A95">
        <v>52</v>
      </c>
      <c r="B95" t="s">
        <v>60</v>
      </c>
      <c r="C95">
        <v>-91065</v>
      </c>
      <c r="D95">
        <v>73.45</v>
      </c>
      <c r="E95">
        <v>493331</v>
      </c>
      <c r="F95">
        <v>-69723.75</v>
      </c>
      <c r="G95">
        <v>116031596</v>
      </c>
      <c r="H95" t="s">
        <v>81</v>
      </c>
      <c r="I95" t="s">
        <v>104</v>
      </c>
      <c r="J95">
        <v>116031.59600000001</v>
      </c>
    </row>
    <row r="96" spans="1:10" x14ac:dyDescent="0.25">
      <c r="A96">
        <v>44</v>
      </c>
      <c r="B96" t="s">
        <v>63</v>
      </c>
      <c r="C96">
        <v>642351</v>
      </c>
      <c r="D96">
        <v>84.126666666666665</v>
      </c>
      <c r="E96">
        <v>10887402</v>
      </c>
      <c r="F96">
        <v>861703.3600000001</v>
      </c>
      <c r="G96">
        <v>1745972023</v>
      </c>
      <c r="H96" t="s">
        <v>81</v>
      </c>
      <c r="I96" t="s">
        <v>104</v>
      </c>
      <c r="J96">
        <v>1745972.023</v>
      </c>
    </row>
    <row r="97" spans="1:10" x14ac:dyDescent="0.25">
      <c r="A97">
        <v>51</v>
      </c>
      <c r="B97" t="s">
        <v>63</v>
      </c>
      <c r="C97">
        <v>473256</v>
      </c>
      <c r="D97">
        <v>82.473333333333329</v>
      </c>
      <c r="E97">
        <v>7749962</v>
      </c>
      <c r="F97">
        <v>-95376.360000000015</v>
      </c>
      <c r="G97">
        <v>1271458446</v>
      </c>
      <c r="H97" t="s">
        <v>81</v>
      </c>
      <c r="I97" t="s">
        <v>104</v>
      </c>
      <c r="J97">
        <v>1271458.446</v>
      </c>
    </row>
    <row r="98" spans="1:10" x14ac:dyDescent="0.25">
      <c r="A98">
        <v>52</v>
      </c>
      <c r="B98" t="s">
        <v>68</v>
      </c>
      <c r="C98">
        <v>-53155</v>
      </c>
      <c r="D98">
        <v>75.783333333333331</v>
      </c>
      <c r="E98">
        <v>609619</v>
      </c>
      <c r="F98">
        <v>-85133.06</v>
      </c>
      <c r="G98">
        <v>170178202</v>
      </c>
      <c r="H98" t="s">
        <v>81</v>
      </c>
      <c r="I98" t="s">
        <v>104</v>
      </c>
      <c r="J98">
        <v>170178.20199999999</v>
      </c>
    </row>
    <row r="99" spans="1:10" x14ac:dyDescent="0.25">
      <c r="A99">
        <v>51</v>
      </c>
      <c r="B99" t="s">
        <v>67</v>
      </c>
      <c r="C99">
        <v>14774</v>
      </c>
      <c r="D99">
        <v>77.896666666666661</v>
      </c>
      <c r="E99">
        <v>922631</v>
      </c>
      <c r="F99">
        <v>-72364.19</v>
      </c>
      <c r="G99">
        <v>259617615</v>
      </c>
      <c r="H99" t="s">
        <v>81</v>
      </c>
      <c r="I99" t="s">
        <v>104</v>
      </c>
      <c r="J99">
        <v>259617.61499999999</v>
      </c>
    </row>
    <row r="100" spans="1:10" x14ac:dyDescent="0.25">
      <c r="A100">
        <v>37</v>
      </c>
      <c r="B100" t="s">
        <v>63</v>
      </c>
      <c r="C100">
        <v>147098</v>
      </c>
      <c r="D100">
        <v>83.186666666666667</v>
      </c>
      <c r="E100">
        <v>9031936</v>
      </c>
      <c r="F100">
        <v>276790.70999999996</v>
      </c>
      <c r="G100">
        <v>1533674101</v>
      </c>
      <c r="H100" t="s">
        <v>81</v>
      </c>
      <c r="I100" t="s">
        <v>104</v>
      </c>
      <c r="J100">
        <v>1533674.101</v>
      </c>
    </row>
    <row r="101" spans="1:10" x14ac:dyDescent="0.25">
      <c r="A101">
        <v>51</v>
      </c>
      <c r="B101" t="s">
        <v>65</v>
      </c>
      <c r="C101">
        <v>129809</v>
      </c>
      <c r="D101">
        <v>80.789999999999992</v>
      </c>
      <c r="E101">
        <v>1971729</v>
      </c>
      <c r="F101">
        <v>394.13000000000466</v>
      </c>
      <c r="G101">
        <v>442554671</v>
      </c>
      <c r="H101" t="s">
        <v>81</v>
      </c>
      <c r="I101" t="s">
        <v>104</v>
      </c>
      <c r="J101">
        <v>442554.67099999997</v>
      </c>
    </row>
    <row r="102" spans="1:10" x14ac:dyDescent="0.25">
      <c r="A102">
        <v>24</v>
      </c>
      <c r="B102" t="s">
        <v>61</v>
      </c>
      <c r="C102">
        <v>7174</v>
      </c>
      <c r="D102">
        <v>87.13</v>
      </c>
      <c r="E102">
        <v>270664</v>
      </c>
      <c r="F102">
        <v>12031.1</v>
      </c>
      <c r="G102">
        <v>81789156</v>
      </c>
      <c r="H102" t="s">
        <v>81</v>
      </c>
      <c r="I102" t="s">
        <v>104</v>
      </c>
      <c r="J102">
        <v>81789.156000000003</v>
      </c>
    </row>
    <row r="103" spans="1:10" x14ac:dyDescent="0.25">
      <c r="A103">
        <v>52</v>
      </c>
      <c r="B103" t="s">
        <v>67</v>
      </c>
      <c r="C103">
        <v>-87158</v>
      </c>
      <c r="D103">
        <v>81.81</v>
      </c>
      <c r="E103">
        <v>987556</v>
      </c>
      <c r="F103">
        <v>-61549.68</v>
      </c>
      <c r="G103">
        <v>296571952</v>
      </c>
      <c r="H103" t="s">
        <v>81</v>
      </c>
      <c r="I103" t="s">
        <v>104</v>
      </c>
      <c r="J103">
        <v>296571.95199999999</v>
      </c>
    </row>
    <row r="104" spans="1:10" x14ac:dyDescent="0.25">
      <c r="A104">
        <v>26</v>
      </c>
      <c r="B104" t="s">
        <v>61</v>
      </c>
      <c r="C104">
        <v>83613</v>
      </c>
      <c r="D104">
        <v>87.26</v>
      </c>
      <c r="E104">
        <v>311020</v>
      </c>
      <c r="F104">
        <v>87363.13</v>
      </c>
      <c r="G104">
        <v>80067623</v>
      </c>
      <c r="H104" t="s">
        <v>81</v>
      </c>
      <c r="I104" t="s">
        <v>104</v>
      </c>
      <c r="J104">
        <v>80067.623000000007</v>
      </c>
    </row>
    <row r="105" spans="1:10" x14ac:dyDescent="0.25">
      <c r="A105">
        <v>24</v>
      </c>
      <c r="B105" t="s">
        <v>66</v>
      </c>
      <c r="C105">
        <v>147116</v>
      </c>
      <c r="D105">
        <v>83.926666666666662</v>
      </c>
      <c r="E105">
        <v>1305499</v>
      </c>
      <c r="F105">
        <v>239735</v>
      </c>
      <c r="G105">
        <v>276786712</v>
      </c>
      <c r="H105" t="s">
        <v>81</v>
      </c>
      <c r="I105" t="s">
        <v>104</v>
      </c>
      <c r="J105">
        <v>276786.712</v>
      </c>
    </row>
    <row r="106" spans="1:10" x14ac:dyDescent="0.25">
      <c r="A106">
        <v>24</v>
      </c>
      <c r="B106" t="s">
        <v>65</v>
      </c>
      <c r="C106">
        <v>87388</v>
      </c>
      <c r="D106">
        <v>83.696666666666673</v>
      </c>
      <c r="E106">
        <v>1446067</v>
      </c>
      <c r="F106">
        <v>160651.54999999999</v>
      </c>
      <c r="G106">
        <v>435774779</v>
      </c>
      <c r="H106" t="s">
        <v>81</v>
      </c>
      <c r="I106" t="s">
        <v>104</v>
      </c>
      <c r="J106">
        <v>435774.77899999998</v>
      </c>
    </row>
    <row r="107" spans="1:10" x14ac:dyDescent="0.25">
      <c r="A107">
        <v>32</v>
      </c>
      <c r="B107" t="s">
        <v>61</v>
      </c>
      <c r="C107">
        <v>60892</v>
      </c>
      <c r="D107">
        <v>81.913333333333327</v>
      </c>
      <c r="E107">
        <v>325175</v>
      </c>
      <c r="F107">
        <v>63277.16</v>
      </c>
      <c r="G107">
        <v>73408075</v>
      </c>
      <c r="H107" t="s">
        <v>81</v>
      </c>
      <c r="I107" t="s">
        <v>104</v>
      </c>
      <c r="J107">
        <v>73408.074999999997</v>
      </c>
    </row>
    <row r="108" spans="1:10" x14ac:dyDescent="0.25">
      <c r="A108">
        <v>24</v>
      </c>
      <c r="B108" t="s">
        <v>68</v>
      </c>
      <c r="C108">
        <v>25446</v>
      </c>
      <c r="D108">
        <v>87.85</v>
      </c>
      <c r="E108">
        <v>405137</v>
      </c>
      <c r="F108">
        <v>39029.120000000003</v>
      </c>
      <c r="G108">
        <v>114904788</v>
      </c>
      <c r="H108" t="s">
        <v>81</v>
      </c>
      <c r="I108" t="s">
        <v>104</v>
      </c>
      <c r="J108">
        <v>114904.788</v>
      </c>
    </row>
    <row r="109" spans="1:10" x14ac:dyDescent="0.25">
      <c r="A109">
        <v>33</v>
      </c>
      <c r="B109" t="s">
        <v>61</v>
      </c>
      <c r="C109">
        <v>63745</v>
      </c>
      <c r="D109">
        <v>82.356666666666669</v>
      </c>
      <c r="E109">
        <v>362002</v>
      </c>
      <c r="F109">
        <v>66051.240000000005</v>
      </c>
      <c r="G109">
        <v>84449019</v>
      </c>
      <c r="H109" t="s">
        <v>81</v>
      </c>
      <c r="I109" t="s">
        <v>104</v>
      </c>
      <c r="J109">
        <v>84449.019</v>
      </c>
    </row>
    <row r="110" spans="1:10" x14ac:dyDescent="0.25">
      <c r="A110">
        <v>24</v>
      </c>
      <c r="B110" t="s">
        <v>67</v>
      </c>
      <c r="C110">
        <v>57802</v>
      </c>
      <c r="D110">
        <v>83.893333333333331</v>
      </c>
      <c r="E110">
        <v>474487</v>
      </c>
      <c r="F110">
        <v>89975.31</v>
      </c>
      <c r="G110">
        <v>137897785</v>
      </c>
      <c r="H110" t="s">
        <v>81</v>
      </c>
      <c r="I110" t="s">
        <v>104</v>
      </c>
      <c r="J110">
        <v>137897.785</v>
      </c>
    </row>
    <row r="111" spans="1:10" x14ac:dyDescent="0.25">
      <c r="A111">
        <v>24</v>
      </c>
      <c r="B111" t="s">
        <v>63</v>
      </c>
      <c r="C111">
        <v>-8662</v>
      </c>
      <c r="D111">
        <v>84</v>
      </c>
      <c r="E111">
        <v>9312309</v>
      </c>
      <c r="F111">
        <v>625651.40999999992</v>
      </c>
      <c r="G111">
        <v>1896055809</v>
      </c>
      <c r="H111" t="s">
        <v>81</v>
      </c>
      <c r="I111" t="s">
        <v>104</v>
      </c>
      <c r="J111">
        <v>1896055.8089999999</v>
      </c>
    </row>
    <row r="112" spans="1:10" x14ac:dyDescent="0.25">
      <c r="A112">
        <v>24</v>
      </c>
      <c r="B112" t="s">
        <v>64</v>
      </c>
      <c r="C112">
        <v>190257</v>
      </c>
      <c r="D112">
        <v>82.26</v>
      </c>
      <c r="E112">
        <v>4627644</v>
      </c>
      <c r="F112">
        <v>620291</v>
      </c>
      <c r="G112">
        <v>1114163719</v>
      </c>
      <c r="H112" t="s">
        <v>81</v>
      </c>
      <c r="I112" t="s">
        <v>104</v>
      </c>
      <c r="J112">
        <v>1114163.719</v>
      </c>
    </row>
    <row r="113" spans="1:10" x14ac:dyDescent="0.25">
      <c r="A113">
        <v>36</v>
      </c>
      <c r="B113" t="s">
        <v>61</v>
      </c>
      <c r="C113">
        <v>16480</v>
      </c>
      <c r="D113">
        <v>83.376666666666665</v>
      </c>
      <c r="E113">
        <v>363482</v>
      </c>
      <c r="F113">
        <v>20185.93</v>
      </c>
      <c r="G113">
        <v>92266000</v>
      </c>
      <c r="H113" t="s">
        <v>81</v>
      </c>
      <c r="I113" t="s">
        <v>104</v>
      </c>
      <c r="J113">
        <v>92266</v>
      </c>
    </row>
    <row r="114" spans="1:10" x14ac:dyDescent="0.25">
      <c r="A114">
        <v>37</v>
      </c>
      <c r="B114" t="s">
        <v>61</v>
      </c>
      <c r="C114">
        <v>71092</v>
      </c>
      <c r="D114">
        <v>85.38</v>
      </c>
      <c r="E114">
        <v>412681</v>
      </c>
      <c r="F114">
        <v>76094.83</v>
      </c>
      <c r="G114">
        <v>105486338</v>
      </c>
      <c r="H114" t="s">
        <v>81</v>
      </c>
      <c r="I114" t="s">
        <v>104</v>
      </c>
      <c r="J114">
        <v>105486.338</v>
      </c>
    </row>
    <row r="115" spans="1:10" x14ac:dyDescent="0.25">
      <c r="A115">
        <v>38</v>
      </c>
      <c r="B115" t="s">
        <v>61</v>
      </c>
      <c r="C115">
        <v>56008</v>
      </c>
      <c r="D115">
        <v>85.646666666666661</v>
      </c>
      <c r="E115">
        <v>415566</v>
      </c>
      <c r="F115">
        <v>62540.06</v>
      </c>
      <c r="G115">
        <v>122342360</v>
      </c>
      <c r="H115" t="s">
        <v>81</v>
      </c>
      <c r="I115" t="s">
        <v>104</v>
      </c>
      <c r="J115">
        <v>122342.36</v>
      </c>
    </row>
    <row r="116" spans="1:10" x14ac:dyDescent="0.25">
      <c r="A116">
        <v>39</v>
      </c>
      <c r="B116" t="s">
        <v>61</v>
      </c>
      <c r="C116">
        <v>10541</v>
      </c>
      <c r="D116">
        <v>85.976666666666674</v>
      </c>
      <c r="E116">
        <v>373414</v>
      </c>
      <c r="F116">
        <v>18124.259999999998</v>
      </c>
      <c r="G116">
        <v>113440968</v>
      </c>
      <c r="H116" t="s">
        <v>81</v>
      </c>
      <c r="I116" t="s">
        <v>104</v>
      </c>
      <c r="J116">
        <v>113440.96799999999</v>
      </c>
    </row>
    <row r="117" spans="1:10" x14ac:dyDescent="0.25">
      <c r="A117">
        <v>40</v>
      </c>
      <c r="B117" t="s">
        <v>61</v>
      </c>
      <c r="C117">
        <v>54091</v>
      </c>
      <c r="D117">
        <v>83.05</v>
      </c>
      <c r="E117">
        <v>395148</v>
      </c>
      <c r="F117">
        <v>59073.36</v>
      </c>
      <c r="G117">
        <v>103684702</v>
      </c>
      <c r="H117" t="s">
        <v>81</v>
      </c>
      <c r="I117" t="s">
        <v>104</v>
      </c>
      <c r="J117">
        <v>103684.702</v>
      </c>
    </row>
    <row r="118" spans="1:10" x14ac:dyDescent="0.25">
      <c r="A118">
        <v>41</v>
      </c>
      <c r="B118" t="s">
        <v>61</v>
      </c>
      <c r="C118">
        <v>76967</v>
      </c>
      <c r="D118">
        <v>84.133333333333326</v>
      </c>
      <c r="E118">
        <v>429661</v>
      </c>
      <c r="F118">
        <v>85040.74</v>
      </c>
      <c r="G118">
        <v>99473327</v>
      </c>
      <c r="H118" t="s">
        <v>81</v>
      </c>
      <c r="I118" t="s">
        <v>104</v>
      </c>
      <c r="J118">
        <v>99473.327000000005</v>
      </c>
    </row>
    <row r="119" spans="1:10" x14ac:dyDescent="0.25">
      <c r="A119">
        <v>37</v>
      </c>
      <c r="B119" t="s">
        <v>67</v>
      </c>
      <c r="C119">
        <v>-44922</v>
      </c>
      <c r="D119">
        <v>81.546666666666667</v>
      </c>
      <c r="E119">
        <v>704138</v>
      </c>
      <c r="F119">
        <v>-38796.75</v>
      </c>
      <c r="G119">
        <v>204645638</v>
      </c>
      <c r="H119" t="s">
        <v>81</v>
      </c>
      <c r="I119" t="s">
        <v>104</v>
      </c>
      <c r="J119">
        <v>204645.63800000001</v>
      </c>
    </row>
    <row r="120" spans="1:10" x14ac:dyDescent="0.25">
      <c r="A120">
        <v>42</v>
      </c>
      <c r="B120" t="s">
        <v>61</v>
      </c>
      <c r="C120">
        <v>91341</v>
      </c>
      <c r="D120">
        <v>84.103333333333325</v>
      </c>
      <c r="E120">
        <v>466846</v>
      </c>
      <c r="F120">
        <v>100607.39</v>
      </c>
      <c r="G120">
        <v>120009216</v>
      </c>
      <c r="H120" t="s">
        <v>81</v>
      </c>
      <c r="I120" t="s">
        <v>104</v>
      </c>
      <c r="J120">
        <v>120009.216</v>
      </c>
    </row>
    <row r="121" spans="1:10" x14ac:dyDescent="0.25">
      <c r="A121">
        <v>26</v>
      </c>
      <c r="B121" t="s">
        <v>66</v>
      </c>
      <c r="C121">
        <v>228355</v>
      </c>
      <c r="D121">
        <v>85.49</v>
      </c>
      <c r="E121">
        <v>1435914</v>
      </c>
      <c r="F121">
        <v>362418</v>
      </c>
      <c r="G121">
        <v>234469227</v>
      </c>
      <c r="H121" t="s">
        <v>81</v>
      </c>
      <c r="I121" t="s">
        <v>104</v>
      </c>
      <c r="J121">
        <v>234469.22700000001</v>
      </c>
    </row>
    <row r="122" spans="1:10" x14ac:dyDescent="0.25">
      <c r="A122">
        <v>43</v>
      </c>
      <c r="B122" t="s">
        <v>61</v>
      </c>
      <c r="C122">
        <v>54431</v>
      </c>
      <c r="D122">
        <v>86.016666666666666</v>
      </c>
      <c r="E122">
        <v>410866</v>
      </c>
      <c r="F122">
        <v>63909.96</v>
      </c>
      <c r="G122">
        <v>105350096</v>
      </c>
      <c r="H122" t="s">
        <v>81</v>
      </c>
      <c r="I122" t="s">
        <v>104</v>
      </c>
      <c r="J122">
        <v>105350.09600000001</v>
      </c>
    </row>
    <row r="123" spans="1:10" x14ac:dyDescent="0.25">
      <c r="A123">
        <v>26</v>
      </c>
      <c r="B123" t="s">
        <v>65</v>
      </c>
      <c r="C123">
        <v>151979</v>
      </c>
      <c r="D123">
        <v>86.033333333333331</v>
      </c>
      <c r="E123">
        <v>1611352</v>
      </c>
      <c r="F123">
        <v>281960.65000000002</v>
      </c>
      <c r="G123">
        <v>371345071</v>
      </c>
      <c r="H123" t="s">
        <v>81</v>
      </c>
      <c r="I123" t="s">
        <v>104</v>
      </c>
      <c r="J123">
        <v>371345.071</v>
      </c>
    </row>
    <row r="124" spans="1:10" x14ac:dyDescent="0.25">
      <c r="A124">
        <v>26</v>
      </c>
      <c r="B124" t="s">
        <v>62</v>
      </c>
      <c r="C124">
        <v>1487293</v>
      </c>
      <c r="D124">
        <v>88.313333333333333</v>
      </c>
      <c r="E124">
        <v>10728156</v>
      </c>
      <c r="F124">
        <v>2496242</v>
      </c>
      <c r="G124">
        <v>2177479292</v>
      </c>
      <c r="H124" t="s">
        <v>81</v>
      </c>
      <c r="I124" t="s">
        <v>104</v>
      </c>
      <c r="J124">
        <v>2177479.2919999999</v>
      </c>
    </row>
    <row r="125" spans="1:10" x14ac:dyDescent="0.25">
      <c r="A125">
        <v>44</v>
      </c>
      <c r="B125" t="s">
        <v>61</v>
      </c>
      <c r="C125">
        <v>75741</v>
      </c>
      <c r="D125">
        <v>82.18</v>
      </c>
      <c r="E125">
        <v>438613</v>
      </c>
      <c r="F125">
        <v>84556.7</v>
      </c>
      <c r="G125">
        <v>103820658</v>
      </c>
      <c r="H125" t="s">
        <v>81</v>
      </c>
      <c r="I125" t="s">
        <v>104</v>
      </c>
      <c r="J125">
        <v>103820.658</v>
      </c>
    </row>
    <row r="126" spans="1:10" x14ac:dyDescent="0.25">
      <c r="A126">
        <v>26</v>
      </c>
      <c r="B126" t="s">
        <v>68</v>
      </c>
      <c r="C126">
        <v>59711</v>
      </c>
      <c r="D126">
        <v>86.316666666666663</v>
      </c>
      <c r="E126">
        <v>412924</v>
      </c>
      <c r="F126">
        <v>90720.19</v>
      </c>
      <c r="G126">
        <v>95508606</v>
      </c>
      <c r="H126" t="s">
        <v>81</v>
      </c>
      <c r="I126" t="s">
        <v>104</v>
      </c>
      <c r="J126">
        <v>95508.606</v>
      </c>
    </row>
    <row r="127" spans="1:10" x14ac:dyDescent="0.25">
      <c r="A127">
        <v>40</v>
      </c>
      <c r="B127" t="s">
        <v>68</v>
      </c>
      <c r="C127">
        <v>-42084</v>
      </c>
      <c r="D127">
        <v>85.396666666666661</v>
      </c>
      <c r="E127">
        <v>553717</v>
      </c>
      <c r="F127">
        <v>-32846.979999999996</v>
      </c>
      <c r="G127">
        <v>134069880</v>
      </c>
      <c r="H127" t="s">
        <v>81</v>
      </c>
      <c r="I127" t="s">
        <v>104</v>
      </c>
      <c r="J127">
        <v>134069.88</v>
      </c>
    </row>
    <row r="128" spans="1:10" x14ac:dyDescent="0.25">
      <c r="A128">
        <v>26</v>
      </c>
      <c r="B128" t="s">
        <v>67</v>
      </c>
      <c r="C128">
        <v>76704</v>
      </c>
      <c r="D128">
        <v>86.39</v>
      </c>
      <c r="E128">
        <v>553421</v>
      </c>
      <c r="F128">
        <v>122314.82999999999</v>
      </c>
      <c r="G128">
        <v>127514440</v>
      </c>
      <c r="H128" t="s">
        <v>81</v>
      </c>
      <c r="I128" t="s">
        <v>104</v>
      </c>
      <c r="J128">
        <v>127514.44</v>
      </c>
    </row>
    <row r="129" spans="1:10" x14ac:dyDescent="0.25">
      <c r="A129">
        <v>26</v>
      </c>
      <c r="B129" t="s">
        <v>63</v>
      </c>
      <c r="C129">
        <v>1192981</v>
      </c>
      <c r="D129">
        <v>86.743333333333339</v>
      </c>
      <c r="E129">
        <v>9913459</v>
      </c>
      <c r="F129">
        <v>1445610.78</v>
      </c>
      <c r="G129">
        <v>1555463558</v>
      </c>
      <c r="H129" t="s">
        <v>81</v>
      </c>
      <c r="I129" t="s">
        <v>104</v>
      </c>
      <c r="J129">
        <v>1555463.558</v>
      </c>
    </row>
    <row r="130" spans="1:10" x14ac:dyDescent="0.25">
      <c r="A130">
        <v>26</v>
      </c>
      <c r="B130" t="s">
        <v>64</v>
      </c>
      <c r="C130">
        <v>608030</v>
      </c>
      <c r="D130">
        <v>84.73</v>
      </c>
      <c r="E130">
        <v>5110613</v>
      </c>
      <c r="F130">
        <v>1085036</v>
      </c>
      <c r="G130">
        <v>957470160</v>
      </c>
      <c r="H130" t="s">
        <v>81</v>
      </c>
      <c r="I130" t="s">
        <v>104</v>
      </c>
      <c r="J130">
        <v>957470.16</v>
      </c>
    </row>
    <row r="131" spans="1:10" x14ac:dyDescent="0.25">
      <c r="A131">
        <v>51</v>
      </c>
      <c r="B131" t="s">
        <v>64</v>
      </c>
      <c r="C131">
        <v>445873</v>
      </c>
      <c r="D131">
        <v>80.513333333333335</v>
      </c>
      <c r="E131">
        <v>4679383</v>
      </c>
      <c r="F131">
        <v>-29593</v>
      </c>
      <c r="G131">
        <v>950126229</v>
      </c>
      <c r="H131" t="s">
        <v>81</v>
      </c>
      <c r="I131" t="s">
        <v>104</v>
      </c>
      <c r="J131">
        <v>950126.22900000005</v>
      </c>
    </row>
    <row r="132" spans="1:10" x14ac:dyDescent="0.25">
      <c r="A132">
        <v>51</v>
      </c>
      <c r="B132" t="s">
        <v>61</v>
      </c>
      <c r="C132">
        <v>42398</v>
      </c>
      <c r="D132">
        <v>75.89</v>
      </c>
      <c r="E132">
        <v>459464</v>
      </c>
      <c r="F132">
        <v>20127.64</v>
      </c>
      <c r="G132">
        <v>118378857</v>
      </c>
      <c r="H132" t="s">
        <v>81</v>
      </c>
      <c r="I132" t="s">
        <v>104</v>
      </c>
      <c r="J132">
        <v>118378.857</v>
      </c>
    </row>
    <row r="133" spans="1:10" x14ac:dyDescent="0.25">
      <c r="A133">
        <v>52</v>
      </c>
      <c r="B133" t="s">
        <v>61</v>
      </c>
      <c r="C133">
        <v>15687</v>
      </c>
      <c r="D133">
        <v>77.56</v>
      </c>
      <c r="E133">
        <v>496884</v>
      </c>
      <c r="F133">
        <v>36439</v>
      </c>
      <c r="G133">
        <v>129661849</v>
      </c>
      <c r="H133" t="s">
        <v>81</v>
      </c>
      <c r="I133" t="s">
        <v>104</v>
      </c>
      <c r="J133">
        <v>129661.849</v>
      </c>
    </row>
    <row r="134" spans="1:10" x14ac:dyDescent="0.25">
      <c r="A134">
        <v>51</v>
      </c>
      <c r="B134" t="s">
        <v>68</v>
      </c>
      <c r="C134">
        <v>23360</v>
      </c>
      <c r="D134">
        <v>77.56</v>
      </c>
      <c r="E134">
        <v>630104</v>
      </c>
      <c r="F134">
        <v>-28941.8</v>
      </c>
      <c r="G134">
        <v>148057592</v>
      </c>
      <c r="H134" t="s">
        <v>81</v>
      </c>
      <c r="I134" t="s">
        <v>104</v>
      </c>
      <c r="J134">
        <v>148057.592</v>
      </c>
    </row>
    <row r="135" spans="1:10" x14ac:dyDescent="0.25">
      <c r="A135">
        <v>40</v>
      </c>
      <c r="B135" t="s">
        <v>63</v>
      </c>
      <c r="C135">
        <v>463487</v>
      </c>
      <c r="D135">
        <v>84.926666666666662</v>
      </c>
      <c r="E135">
        <v>10491647</v>
      </c>
      <c r="F135">
        <v>653144.14</v>
      </c>
      <c r="G135">
        <v>1873661603</v>
      </c>
      <c r="H135" t="s">
        <v>81</v>
      </c>
      <c r="I135" t="s">
        <v>104</v>
      </c>
      <c r="J135">
        <v>1873661.6029999999</v>
      </c>
    </row>
    <row r="136" spans="1:10" x14ac:dyDescent="0.25">
      <c r="A136">
        <v>32</v>
      </c>
      <c r="B136" t="s">
        <v>63</v>
      </c>
      <c r="C136">
        <v>396936</v>
      </c>
      <c r="D136">
        <v>85.38333333333334</v>
      </c>
      <c r="E136">
        <v>9051740</v>
      </c>
      <c r="F136">
        <v>1006184.22</v>
      </c>
      <c r="G136">
        <v>1194549320</v>
      </c>
      <c r="H136" t="s">
        <v>81</v>
      </c>
      <c r="I136" t="s">
        <v>104</v>
      </c>
      <c r="J136">
        <v>1194549.32</v>
      </c>
    </row>
    <row r="137" spans="1:10" x14ac:dyDescent="0.25">
      <c r="A137">
        <v>36</v>
      </c>
      <c r="B137" t="s">
        <v>63</v>
      </c>
      <c r="C137">
        <v>596853</v>
      </c>
      <c r="D137">
        <v>85.516666666666666</v>
      </c>
      <c r="E137">
        <v>9438506</v>
      </c>
      <c r="F137">
        <v>728842.20000000007</v>
      </c>
      <c r="G137">
        <v>1487211979</v>
      </c>
      <c r="H137" t="s">
        <v>81</v>
      </c>
      <c r="I137" t="s">
        <v>104</v>
      </c>
      <c r="J137">
        <v>1487211.9790000001</v>
      </c>
    </row>
    <row r="138" spans="1:10" x14ac:dyDescent="0.25">
      <c r="A138">
        <v>52</v>
      </c>
      <c r="B138" t="s">
        <v>66</v>
      </c>
      <c r="C138">
        <v>22674</v>
      </c>
      <c r="D138">
        <v>79.083333333333329</v>
      </c>
      <c r="E138">
        <v>1897226</v>
      </c>
      <c r="F138">
        <v>56885</v>
      </c>
      <c r="G138">
        <v>371037864</v>
      </c>
      <c r="H138" t="s">
        <v>81</v>
      </c>
      <c r="I138" t="s">
        <v>104</v>
      </c>
      <c r="J138">
        <v>371037.864</v>
      </c>
    </row>
    <row r="139" spans="1:10" x14ac:dyDescent="0.25">
      <c r="A139">
        <v>32</v>
      </c>
      <c r="B139" t="s">
        <v>62</v>
      </c>
      <c r="C139">
        <v>632847</v>
      </c>
      <c r="D139">
        <v>87.72</v>
      </c>
      <c r="E139">
        <v>9511103</v>
      </c>
      <c r="F139">
        <v>1029340</v>
      </c>
      <c r="G139">
        <v>1297974142</v>
      </c>
      <c r="H139" t="s">
        <v>81</v>
      </c>
      <c r="I139" t="s">
        <v>104</v>
      </c>
      <c r="J139">
        <v>1297974.142</v>
      </c>
    </row>
    <row r="140" spans="1:10" x14ac:dyDescent="0.25">
      <c r="A140">
        <v>33</v>
      </c>
      <c r="B140" t="s">
        <v>62</v>
      </c>
      <c r="C140">
        <v>615913</v>
      </c>
      <c r="D140">
        <v>84.786666666666676</v>
      </c>
      <c r="E140">
        <v>9196079</v>
      </c>
      <c r="F140">
        <v>1067917</v>
      </c>
      <c r="G140">
        <v>1323697231</v>
      </c>
      <c r="H140" t="s">
        <v>81</v>
      </c>
      <c r="I140" t="s">
        <v>104</v>
      </c>
      <c r="J140">
        <v>1323697.2309999999</v>
      </c>
    </row>
    <row r="141" spans="1:10" x14ac:dyDescent="0.25">
      <c r="A141">
        <v>36</v>
      </c>
      <c r="B141" t="s">
        <v>62</v>
      </c>
      <c r="C141">
        <v>591546</v>
      </c>
      <c r="D141">
        <v>87.053333333333342</v>
      </c>
      <c r="E141">
        <v>10299698</v>
      </c>
      <c r="F141">
        <v>1198336</v>
      </c>
      <c r="G141">
        <v>1574804231</v>
      </c>
      <c r="H141" t="s">
        <v>81</v>
      </c>
      <c r="I141" t="s">
        <v>104</v>
      </c>
      <c r="J141">
        <v>1574804.2309999999</v>
      </c>
    </row>
    <row r="142" spans="1:10" x14ac:dyDescent="0.25">
      <c r="A142">
        <v>37</v>
      </c>
      <c r="B142" t="s">
        <v>66</v>
      </c>
      <c r="C142">
        <v>15868</v>
      </c>
      <c r="D142">
        <v>80.846666666666664</v>
      </c>
      <c r="E142">
        <v>1831218</v>
      </c>
      <c r="F142">
        <v>14013</v>
      </c>
      <c r="G142">
        <v>367319738</v>
      </c>
      <c r="H142" t="s">
        <v>81</v>
      </c>
      <c r="I142" t="s">
        <v>104</v>
      </c>
      <c r="J142">
        <v>367319.73800000001</v>
      </c>
    </row>
    <row r="143" spans="1:10" x14ac:dyDescent="0.25">
      <c r="A143">
        <v>37</v>
      </c>
      <c r="B143" t="s">
        <v>62</v>
      </c>
      <c r="C143">
        <v>583855</v>
      </c>
      <c r="D143">
        <v>84.023333333333341</v>
      </c>
      <c r="E143">
        <v>10007942</v>
      </c>
      <c r="F143">
        <v>912490</v>
      </c>
      <c r="G143">
        <v>1600933911</v>
      </c>
      <c r="H143" t="s">
        <v>81</v>
      </c>
      <c r="I143" t="s">
        <v>104</v>
      </c>
      <c r="J143">
        <v>1600933.9110000001</v>
      </c>
    </row>
    <row r="144" spans="1:10" x14ac:dyDescent="0.25">
      <c r="A144">
        <v>38</v>
      </c>
      <c r="B144" t="s">
        <v>62</v>
      </c>
      <c r="C144">
        <v>1017742</v>
      </c>
      <c r="D144">
        <v>87.51</v>
      </c>
      <c r="E144">
        <v>11809326</v>
      </c>
      <c r="F144">
        <v>1742062</v>
      </c>
      <c r="G144">
        <v>1979602393</v>
      </c>
      <c r="H144" t="s">
        <v>81</v>
      </c>
      <c r="I144" t="s">
        <v>104</v>
      </c>
      <c r="J144">
        <v>1979602.3929999999</v>
      </c>
    </row>
    <row r="145" spans="1:10" x14ac:dyDescent="0.25">
      <c r="A145">
        <v>39</v>
      </c>
      <c r="B145" t="s">
        <v>62</v>
      </c>
      <c r="C145">
        <v>1275703</v>
      </c>
      <c r="D145">
        <v>87.086666666666673</v>
      </c>
      <c r="E145">
        <v>11988481</v>
      </c>
      <c r="F145">
        <v>1663858</v>
      </c>
      <c r="G145">
        <v>2184355053</v>
      </c>
      <c r="H145" t="s">
        <v>81</v>
      </c>
      <c r="I145" t="s">
        <v>104</v>
      </c>
      <c r="J145">
        <v>2184355.0529999998</v>
      </c>
    </row>
    <row r="146" spans="1:10" x14ac:dyDescent="0.25">
      <c r="A146">
        <v>32</v>
      </c>
      <c r="B146" t="s">
        <v>66</v>
      </c>
      <c r="C146">
        <v>164942</v>
      </c>
      <c r="D146">
        <v>85.62</v>
      </c>
      <c r="E146">
        <v>1423514</v>
      </c>
      <c r="F146">
        <v>298506</v>
      </c>
      <c r="G146">
        <v>189459153</v>
      </c>
      <c r="H146" t="s">
        <v>81</v>
      </c>
      <c r="I146" t="s">
        <v>104</v>
      </c>
      <c r="J146">
        <v>189459.15299999999</v>
      </c>
    </row>
    <row r="147" spans="1:10" x14ac:dyDescent="0.25">
      <c r="A147">
        <v>33</v>
      </c>
      <c r="B147" t="s">
        <v>68</v>
      </c>
      <c r="C147">
        <v>-237</v>
      </c>
      <c r="D147">
        <v>86.783333333333331</v>
      </c>
      <c r="E147">
        <v>429929</v>
      </c>
      <c r="F147">
        <v>-2698.0099999999993</v>
      </c>
      <c r="G147">
        <v>84351749</v>
      </c>
      <c r="H147" t="s">
        <v>81</v>
      </c>
      <c r="I147" t="s">
        <v>104</v>
      </c>
      <c r="J147">
        <v>84351.748999999996</v>
      </c>
    </row>
    <row r="148" spans="1:10" x14ac:dyDescent="0.25">
      <c r="A148">
        <v>32</v>
      </c>
      <c r="B148" t="s">
        <v>65</v>
      </c>
      <c r="C148">
        <v>180020</v>
      </c>
      <c r="D148">
        <v>85.326666666666668</v>
      </c>
      <c r="E148">
        <v>1640949</v>
      </c>
      <c r="F148">
        <v>294724.09999999998</v>
      </c>
      <c r="G148">
        <v>291342360</v>
      </c>
      <c r="H148" t="s">
        <v>81</v>
      </c>
      <c r="I148" t="s">
        <v>104</v>
      </c>
      <c r="J148">
        <v>291342.36</v>
      </c>
    </row>
    <row r="149" spans="1:10" x14ac:dyDescent="0.25">
      <c r="A149">
        <v>40</v>
      </c>
      <c r="B149" t="s">
        <v>62</v>
      </c>
      <c r="C149">
        <v>1008335</v>
      </c>
      <c r="D149">
        <v>86.850000000000009</v>
      </c>
      <c r="E149">
        <v>10732248</v>
      </c>
      <c r="F149">
        <v>1185494</v>
      </c>
      <c r="G149">
        <v>2039881243</v>
      </c>
      <c r="H149" t="s">
        <v>81</v>
      </c>
      <c r="I149" t="s">
        <v>104</v>
      </c>
      <c r="J149">
        <v>2039881.243</v>
      </c>
    </row>
    <row r="150" spans="1:10" x14ac:dyDescent="0.25">
      <c r="A150">
        <v>41</v>
      </c>
      <c r="B150" t="s">
        <v>62</v>
      </c>
      <c r="C150">
        <v>747733</v>
      </c>
      <c r="D150">
        <v>84.25</v>
      </c>
      <c r="E150">
        <v>10491457</v>
      </c>
      <c r="F150">
        <v>1019481</v>
      </c>
      <c r="G150">
        <v>1684074209</v>
      </c>
      <c r="H150" t="s">
        <v>81</v>
      </c>
      <c r="I150" t="s">
        <v>104</v>
      </c>
      <c r="J150">
        <v>1684074.209</v>
      </c>
    </row>
    <row r="151" spans="1:10" x14ac:dyDescent="0.25">
      <c r="A151">
        <v>32</v>
      </c>
      <c r="B151" t="s">
        <v>68</v>
      </c>
      <c r="C151">
        <v>32721</v>
      </c>
      <c r="D151">
        <v>86.056666666666672</v>
      </c>
      <c r="E151">
        <v>434475</v>
      </c>
      <c r="F151">
        <v>48631.93</v>
      </c>
      <c r="G151">
        <v>82003745</v>
      </c>
      <c r="H151" t="s">
        <v>81</v>
      </c>
      <c r="I151" t="s">
        <v>104</v>
      </c>
      <c r="J151">
        <v>82003.744999999995</v>
      </c>
    </row>
    <row r="152" spans="1:10" x14ac:dyDescent="0.25">
      <c r="A152">
        <v>41</v>
      </c>
      <c r="B152" t="s">
        <v>66</v>
      </c>
      <c r="C152">
        <v>17407</v>
      </c>
      <c r="D152">
        <v>80.13</v>
      </c>
      <c r="E152">
        <v>1874887</v>
      </c>
      <c r="F152">
        <v>28323</v>
      </c>
      <c r="G152">
        <v>362341413</v>
      </c>
      <c r="H152" t="s">
        <v>81</v>
      </c>
      <c r="I152" t="s">
        <v>104</v>
      </c>
      <c r="J152">
        <v>362341.413</v>
      </c>
    </row>
    <row r="153" spans="1:10" x14ac:dyDescent="0.25">
      <c r="A153">
        <v>42</v>
      </c>
      <c r="B153" t="s">
        <v>62</v>
      </c>
      <c r="C153">
        <v>1407178</v>
      </c>
      <c r="D153">
        <v>89.89</v>
      </c>
      <c r="E153">
        <v>12581479</v>
      </c>
      <c r="F153">
        <v>2080770</v>
      </c>
      <c r="G153">
        <v>1966302158</v>
      </c>
      <c r="H153" t="s">
        <v>81</v>
      </c>
      <c r="I153" t="s">
        <v>104</v>
      </c>
      <c r="J153">
        <v>1966302.1580000001</v>
      </c>
    </row>
    <row r="154" spans="1:10" x14ac:dyDescent="0.25">
      <c r="A154">
        <v>32</v>
      </c>
      <c r="B154" t="s">
        <v>67</v>
      </c>
      <c r="C154">
        <v>48493</v>
      </c>
      <c r="D154">
        <v>81.183333333333337</v>
      </c>
      <c r="E154">
        <v>578351</v>
      </c>
      <c r="F154">
        <v>85310.77</v>
      </c>
      <c r="G154">
        <v>126534683</v>
      </c>
      <c r="H154" t="s">
        <v>81</v>
      </c>
      <c r="I154" t="s">
        <v>104</v>
      </c>
      <c r="J154">
        <v>126534.683</v>
      </c>
    </row>
    <row r="155" spans="1:10" x14ac:dyDescent="0.25">
      <c r="A155">
        <v>43</v>
      </c>
      <c r="B155" t="s">
        <v>62</v>
      </c>
      <c r="C155">
        <v>1493988</v>
      </c>
      <c r="D155">
        <v>89.123333333333335</v>
      </c>
      <c r="E155">
        <v>12590411</v>
      </c>
      <c r="F155">
        <v>2062770</v>
      </c>
      <c r="G155">
        <v>1960079222</v>
      </c>
      <c r="H155" t="s">
        <v>81</v>
      </c>
      <c r="I155" t="s">
        <v>104</v>
      </c>
      <c r="J155">
        <v>1960079.2220000001</v>
      </c>
    </row>
    <row r="156" spans="1:10" x14ac:dyDescent="0.25">
      <c r="A156">
        <v>32</v>
      </c>
      <c r="B156" t="s">
        <v>64</v>
      </c>
      <c r="C156">
        <v>522340</v>
      </c>
      <c r="D156">
        <v>84.596666666666664</v>
      </c>
      <c r="E156">
        <v>5075670</v>
      </c>
      <c r="F156">
        <v>845884</v>
      </c>
      <c r="G156">
        <v>911132366</v>
      </c>
      <c r="H156" t="s">
        <v>81</v>
      </c>
      <c r="I156" t="s">
        <v>104</v>
      </c>
      <c r="J156">
        <v>911132.36600000004</v>
      </c>
    </row>
    <row r="157" spans="1:10" x14ac:dyDescent="0.25">
      <c r="A157">
        <v>44</v>
      </c>
      <c r="B157" t="s">
        <v>62</v>
      </c>
      <c r="C157">
        <v>1121021</v>
      </c>
      <c r="D157">
        <v>86.793333333333337</v>
      </c>
      <c r="E157">
        <v>11462988</v>
      </c>
      <c r="F157">
        <v>1395768</v>
      </c>
      <c r="G157">
        <v>1704275994</v>
      </c>
      <c r="H157" t="s">
        <v>81</v>
      </c>
      <c r="I157" t="s">
        <v>104</v>
      </c>
      <c r="J157">
        <v>1704275.9939999999</v>
      </c>
    </row>
    <row r="158" spans="1:10" x14ac:dyDescent="0.25">
      <c r="A158">
        <v>33</v>
      </c>
      <c r="B158" t="s">
        <v>66</v>
      </c>
      <c r="C158">
        <v>122665</v>
      </c>
      <c r="D158">
        <v>82.646666666666661</v>
      </c>
      <c r="E158">
        <v>1391087</v>
      </c>
      <c r="F158">
        <v>215242</v>
      </c>
      <c r="G158">
        <v>208797145</v>
      </c>
      <c r="H158" t="s">
        <v>81</v>
      </c>
      <c r="I158" t="s">
        <v>104</v>
      </c>
      <c r="J158">
        <v>208797.14499999999</v>
      </c>
    </row>
    <row r="159" spans="1:10" x14ac:dyDescent="0.25">
      <c r="A159">
        <v>33</v>
      </c>
      <c r="B159" t="s">
        <v>65</v>
      </c>
      <c r="C159">
        <v>85276</v>
      </c>
      <c r="D159">
        <v>84.456666666666663</v>
      </c>
      <c r="E159">
        <v>1603858</v>
      </c>
      <c r="F159">
        <v>147605.04999999999</v>
      </c>
      <c r="G159">
        <v>322619471</v>
      </c>
      <c r="H159" t="s">
        <v>81</v>
      </c>
      <c r="I159" t="s">
        <v>104</v>
      </c>
      <c r="J159">
        <v>322619.47100000002</v>
      </c>
    </row>
    <row r="160" spans="1:10" x14ac:dyDescent="0.25">
      <c r="A160">
        <v>39</v>
      </c>
      <c r="B160" t="s">
        <v>68</v>
      </c>
      <c r="C160">
        <v>30541</v>
      </c>
      <c r="D160">
        <v>86.31</v>
      </c>
      <c r="E160">
        <v>544751</v>
      </c>
      <c r="F160">
        <v>35787.31</v>
      </c>
      <c r="G160">
        <v>138070763</v>
      </c>
      <c r="H160" t="s">
        <v>81</v>
      </c>
      <c r="I160" t="s">
        <v>104</v>
      </c>
      <c r="J160">
        <v>138070.76300000001</v>
      </c>
    </row>
    <row r="161" spans="1:10" x14ac:dyDescent="0.25">
      <c r="A161">
        <v>51</v>
      </c>
      <c r="B161" t="s">
        <v>62</v>
      </c>
      <c r="C161">
        <v>1196545</v>
      </c>
      <c r="D161">
        <v>84.703333333333333</v>
      </c>
      <c r="E161">
        <v>9165349</v>
      </c>
      <c r="F161">
        <v>552729</v>
      </c>
      <c r="G161">
        <v>1288346787</v>
      </c>
      <c r="H161" t="s">
        <v>81</v>
      </c>
      <c r="I161" t="s">
        <v>104</v>
      </c>
      <c r="J161">
        <v>1288346.787</v>
      </c>
    </row>
    <row r="162" spans="1:10" x14ac:dyDescent="0.25">
      <c r="A162">
        <v>33</v>
      </c>
      <c r="B162" t="s">
        <v>67</v>
      </c>
      <c r="C162">
        <v>31935</v>
      </c>
      <c r="D162">
        <v>81.693333333333328</v>
      </c>
      <c r="E162">
        <v>591746</v>
      </c>
      <c r="F162">
        <v>59405.279999999999</v>
      </c>
      <c r="G162">
        <v>139781837</v>
      </c>
      <c r="H162" t="s">
        <v>81</v>
      </c>
      <c r="I162" t="s">
        <v>104</v>
      </c>
      <c r="J162">
        <v>139781.837</v>
      </c>
    </row>
    <row r="163" spans="1:10" x14ac:dyDescent="0.25">
      <c r="A163">
        <v>52</v>
      </c>
      <c r="B163" t="s">
        <v>62</v>
      </c>
      <c r="C163">
        <v>-373073</v>
      </c>
      <c r="D163">
        <v>83.026666666666671</v>
      </c>
      <c r="E163">
        <v>9484850</v>
      </c>
      <c r="F163">
        <v>396369</v>
      </c>
      <c r="G163">
        <v>1327442079</v>
      </c>
      <c r="H163" t="s">
        <v>81</v>
      </c>
      <c r="I163" t="s">
        <v>104</v>
      </c>
      <c r="J163">
        <v>1327442.0789999999</v>
      </c>
    </row>
    <row r="164" spans="1:10" x14ac:dyDescent="0.25">
      <c r="A164">
        <v>33</v>
      </c>
      <c r="B164" t="s">
        <v>64</v>
      </c>
      <c r="C164">
        <v>351464</v>
      </c>
      <c r="D164">
        <v>80.010000000000005</v>
      </c>
      <c r="E164">
        <v>4882664</v>
      </c>
      <c r="F164">
        <v>658021</v>
      </c>
      <c r="G164">
        <v>880209961</v>
      </c>
      <c r="H164" t="s">
        <v>81</v>
      </c>
      <c r="I164" t="s">
        <v>104</v>
      </c>
      <c r="J164">
        <v>880209.96100000001</v>
      </c>
    </row>
    <row r="165" spans="1:10" x14ac:dyDescent="0.25">
      <c r="A165">
        <v>38</v>
      </c>
      <c r="B165" t="s">
        <v>68</v>
      </c>
      <c r="C165">
        <v>67225</v>
      </c>
      <c r="D165">
        <v>86.696666666666673</v>
      </c>
      <c r="E165">
        <v>556016</v>
      </c>
      <c r="F165">
        <v>83650.12000000001</v>
      </c>
      <c r="G165">
        <v>138922619</v>
      </c>
      <c r="H165" t="s">
        <v>81</v>
      </c>
      <c r="I165" t="s">
        <v>104</v>
      </c>
      <c r="J165">
        <v>138922.61900000001</v>
      </c>
    </row>
    <row r="166" spans="1:10" x14ac:dyDescent="0.25">
      <c r="A166">
        <v>41</v>
      </c>
      <c r="B166" t="s">
        <v>63</v>
      </c>
      <c r="C166">
        <v>292760</v>
      </c>
      <c r="D166">
        <v>83.04</v>
      </c>
      <c r="E166">
        <v>9589287</v>
      </c>
      <c r="F166">
        <v>495793.68000000005</v>
      </c>
      <c r="G166">
        <v>1571379217</v>
      </c>
      <c r="H166" t="s">
        <v>81</v>
      </c>
      <c r="I166" t="s">
        <v>104</v>
      </c>
      <c r="J166">
        <v>1571379.2169999999</v>
      </c>
    </row>
    <row r="167" spans="1:10" x14ac:dyDescent="0.25">
      <c r="A167">
        <v>38</v>
      </c>
      <c r="B167" t="s">
        <v>63</v>
      </c>
      <c r="C167">
        <v>684133</v>
      </c>
      <c r="D167">
        <v>87.6</v>
      </c>
      <c r="E167">
        <v>10776602</v>
      </c>
      <c r="F167">
        <v>1160849.06</v>
      </c>
      <c r="G167">
        <v>1903653126</v>
      </c>
      <c r="H167" t="s">
        <v>81</v>
      </c>
      <c r="I167" t="s">
        <v>104</v>
      </c>
      <c r="J167">
        <v>1903653.1259999999</v>
      </c>
    </row>
    <row r="168" spans="1:10" x14ac:dyDescent="0.25">
      <c r="A168">
        <v>40</v>
      </c>
      <c r="B168" t="s">
        <v>66</v>
      </c>
      <c r="C168">
        <v>47926</v>
      </c>
      <c r="D168">
        <v>83.76</v>
      </c>
      <c r="E168">
        <v>2063568</v>
      </c>
      <c r="F168">
        <v>106912</v>
      </c>
      <c r="G168">
        <v>420687588</v>
      </c>
      <c r="H168" t="s">
        <v>81</v>
      </c>
      <c r="I168" t="s">
        <v>104</v>
      </c>
      <c r="J168">
        <v>420687.58799999999</v>
      </c>
    </row>
    <row r="169" spans="1:10" x14ac:dyDescent="0.25">
      <c r="A169">
        <v>36</v>
      </c>
      <c r="B169" t="s">
        <v>66</v>
      </c>
      <c r="C169">
        <v>426165</v>
      </c>
      <c r="D169">
        <v>84.88333333333334</v>
      </c>
      <c r="E169">
        <v>1538364</v>
      </c>
      <c r="F169">
        <v>190946</v>
      </c>
      <c r="G169">
        <v>248785060</v>
      </c>
      <c r="H169" t="s">
        <v>81</v>
      </c>
      <c r="I169" t="s">
        <v>104</v>
      </c>
      <c r="J169">
        <v>248785.06</v>
      </c>
    </row>
    <row r="170" spans="1:10" x14ac:dyDescent="0.25">
      <c r="A170">
        <v>36</v>
      </c>
      <c r="B170" t="s">
        <v>65</v>
      </c>
      <c r="C170">
        <v>672409</v>
      </c>
      <c r="D170">
        <v>83.916666666666671</v>
      </c>
      <c r="E170">
        <v>1756242</v>
      </c>
      <c r="F170">
        <v>189373.56</v>
      </c>
      <c r="G170">
        <v>368182234</v>
      </c>
      <c r="H170" t="s">
        <v>81</v>
      </c>
      <c r="I170" t="s">
        <v>104</v>
      </c>
      <c r="J170">
        <v>368182.234</v>
      </c>
    </row>
    <row r="171" spans="1:10" x14ac:dyDescent="0.25">
      <c r="A171">
        <v>36</v>
      </c>
      <c r="B171" t="s">
        <v>68</v>
      </c>
      <c r="C171">
        <v>28750</v>
      </c>
      <c r="D171">
        <v>87.203333333333333</v>
      </c>
      <c r="E171">
        <v>491286</v>
      </c>
      <c r="F171">
        <v>30552.22</v>
      </c>
      <c r="G171">
        <v>115817274</v>
      </c>
      <c r="H171" t="s">
        <v>81</v>
      </c>
      <c r="I171" t="s">
        <v>104</v>
      </c>
      <c r="J171">
        <v>115817.274</v>
      </c>
    </row>
    <row r="172" spans="1:10" x14ac:dyDescent="0.25">
      <c r="A172">
        <v>36</v>
      </c>
      <c r="B172" t="s">
        <v>67</v>
      </c>
      <c r="C172">
        <v>81746</v>
      </c>
      <c r="D172">
        <v>81.803333333333327</v>
      </c>
      <c r="E172">
        <v>666182</v>
      </c>
      <c r="F172">
        <v>91308.420000000013</v>
      </c>
      <c r="G172">
        <v>175205228</v>
      </c>
      <c r="H172" t="s">
        <v>81</v>
      </c>
      <c r="I172" t="s">
        <v>104</v>
      </c>
      <c r="J172">
        <v>175205.228</v>
      </c>
    </row>
    <row r="173" spans="1:10" x14ac:dyDescent="0.25">
      <c r="A173">
        <v>36</v>
      </c>
      <c r="B173" t="s">
        <v>64</v>
      </c>
      <c r="C173">
        <v>1888364</v>
      </c>
      <c r="D173">
        <v>85.226666666666659</v>
      </c>
      <c r="E173">
        <v>5273392</v>
      </c>
      <c r="F173">
        <v>772871</v>
      </c>
      <c r="G173">
        <v>979402577</v>
      </c>
      <c r="H173" t="s">
        <v>81</v>
      </c>
      <c r="I173" t="s">
        <v>104</v>
      </c>
      <c r="J173">
        <v>979402.57700000005</v>
      </c>
    </row>
    <row r="174" spans="1:10" x14ac:dyDescent="0.25">
      <c r="A174">
        <v>37</v>
      </c>
      <c r="B174" t="s">
        <v>65</v>
      </c>
      <c r="C174">
        <v>88322</v>
      </c>
      <c r="D174">
        <v>83.306666666666672</v>
      </c>
      <c r="E174">
        <v>1753764</v>
      </c>
      <c r="F174">
        <v>129322.26000000001</v>
      </c>
      <c r="G174">
        <v>416853799</v>
      </c>
      <c r="H174" t="s">
        <v>81</v>
      </c>
      <c r="I174" t="s">
        <v>104</v>
      </c>
      <c r="J174">
        <v>416853.799</v>
      </c>
    </row>
    <row r="175" spans="1:10" x14ac:dyDescent="0.25">
      <c r="A175">
        <v>37</v>
      </c>
      <c r="B175" t="s">
        <v>68</v>
      </c>
      <c r="C175">
        <v>26845</v>
      </c>
      <c r="D175">
        <v>85.38666666666667</v>
      </c>
      <c r="E175">
        <v>501374</v>
      </c>
      <c r="F175">
        <v>33298.57</v>
      </c>
      <c r="G175">
        <v>123429281</v>
      </c>
      <c r="H175" t="s">
        <v>81</v>
      </c>
      <c r="I175" t="s">
        <v>104</v>
      </c>
      <c r="J175">
        <v>123429.281</v>
      </c>
    </row>
    <row r="176" spans="1:10" x14ac:dyDescent="0.25">
      <c r="A176">
        <v>37</v>
      </c>
      <c r="B176" t="s">
        <v>64</v>
      </c>
      <c r="C176">
        <v>462596</v>
      </c>
      <c r="D176">
        <v>81.38666666666667</v>
      </c>
      <c r="E176">
        <v>4943716</v>
      </c>
      <c r="F176">
        <v>616430</v>
      </c>
      <c r="G176">
        <v>967286238</v>
      </c>
      <c r="H176" t="s">
        <v>81</v>
      </c>
      <c r="I176" t="s">
        <v>104</v>
      </c>
      <c r="J176">
        <v>967286.23800000001</v>
      </c>
    </row>
    <row r="177" spans="1:10" x14ac:dyDescent="0.25">
      <c r="A177">
        <v>38</v>
      </c>
      <c r="B177" t="s">
        <v>66</v>
      </c>
      <c r="C177">
        <v>215165</v>
      </c>
      <c r="D177">
        <v>86.473333333333329</v>
      </c>
      <c r="E177">
        <v>2154720</v>
      </c>
      <c r="F177">
        <v>266791</v>
      </c>
      <c r="G177">
        <v>439365882</v>
      </c>
      <c r="H177" t="s">
        <v>81</v>
      </c>
      <c r="I177" t="s">
        <v>104</v>
      </c>
      <c r="J177">
        <v>439365.88199999998</v>
      </c>
    </row>
    <row r="178" spans="1:10" x14ac:dyDescent="0.25">
      <c r="A178">
        <v>38</v>
      </c>
      <c r="B178" t="s">
        <v>65</v>
      </c>
      <c r="C178">
        <v>-119892</v>
      </c>
      <c r="D178">
        <v>84.536666666666662</v>
      </c>
      <c r="E178">
        <v>1928022</v>
      </c>
      <c r="F178">
        <v>171150.64</v>
      </c>
      <c r="G178">
        <v>491117942</v>
      </c>
      <c r="H178" t="s">
        <v>81</v>
      </c>
      <c r="I178" t="s">
        <v>104</v>
      </c>
      <c r="J178">
        <v>491117.94199999998</v>
      </c>
    </row>
    <row r="179" spans="1:10" x14ac:dyDescent="0.25">
      <c r="A179">
        <v>38</v>
      </c>
      <c r="B179" t="s">
        <v>67</v>
      </c>
      <c r="C179">
        <v>11254</v>
      </c>
      <c r="D179">
        <v>84.573333333333338</v>
      </c>
      <c r="E179">
        <v>851772</v>
      </c>
      <c r="F179">
        <v>108521.15</v>
      </c>
      <c r="G179">
        <v>246180055</v>
      </c>
      <c r="H179" t="s">
        <v>81</v>
      </c>
      <c r="I179" t="s">
        <v>104</v>
      </c>
      <c r="J179">
        <v>246180.05499999999</v>
      </c>
    </row>
    <row r="180" spans="1:10" x14ac:dyDescent="0.25">
      <c r="A180">
        <v>38</v>
      </c>
      <c r="B180" t="s">
        <v>64</v>
      </c>
      <c r="C180">
        <v>732723</v>
      </c>
      <c r="D180">
        <v>84.713333333333338</v>
      </c>
      <c r="E180">
        <v>5742434</v>
      </c>
      <c r="F180">
        <v>971585</v>
      </c>
      <c r="G180">
        <v>1142965267</v>
      </c>
      <c r="H180" t="s">
        <v>81</v>
      </c>
      <c r="I180" t="s">
        <v>104</v>
      </c>
      <c r="J180">
        <v>1142965.267</v>
      </c>
    </row>
    <row r="181" spans="1:10" x14ac:dyDescent="0.25">
      <c r="A181">
        <v>39</v>
      </c>
      <c r="B181" t="s">
        <v>66</v>
      </c>
      <c r="C181">
        <v>229800</v>
      </c>
      <c r="D181">
        <v>85.19</v>
      </c>
      <c r="E181">
        <v>2210301</v>
      </c>
      <c r="F181">
        <v>299563</v>
      </c>
      <c r="G181">
        <v>436668891</v>
      </c>
      <c r="H181" t="s">
        <v>81</v>
      </c>
      <c r="I181" t="s">
        <v>104</v>
      </c>
      <c r="J181">
        <v>436668.891</v>
      </c>
    </row>
    <row r="182" spans="1:10" x14ac:dyDescent="0.25">
      <c r="A182">
        <v>39</v>
      </c>
      <c r="B182" t="s">
        <v>65</v>
      </c>
      <c r="C182">
        <v>50470</v>
      </c>
      <c r="D182">
        <v>86.146666666666661</v>
      </c>
      <c r="E182">
        <v>2007943</v>
      </c>
      <c r="F182">
        <v>128958.94</v>
      </c>
      <c r="G182">
        <v>514805686</v>
      </c>
      <c r="H182" t="s">
        <v>81</v>
      </c>
      <c r="I182" t="s">
        <v>104</v>
      </c>
      <c r="J182">
        <v>514805.68599999999</v>
      </c>
    </row>
    <row r="183" spans="1:10" x14ac:dyDescent="0.25">
      <c r="A183">
        <v>39</v>
      </c>
      <c r="B183" t="s">
        <v>63</v>
      </c>
      <c r="C183">
        <v>836361</v>
      </c>
      <c r="D183">
        <v>87.076666666666668</v>
      </c>
      <c r="E183">
        <v>11003046</v>
      </c>
      <c r="F183">
        <v>1203512.1000000001</v>
      </c>
      <c r="G183">
        <v>2038746452</v>
      </c>
      <c r="H183" t="s">
        <v>81</v>
      </c>
      <c r="I183" t="s">
        <v>104</v>
      </c>
      <c r="J183">
        <v>2038746.452</v>
      </c>
    </row>
    <row r="184" spans="1:10" x14ac:dyDescent="0.25">
      <c r="A184">
        <v>42</v>
      </c>
      <c r="B184" t="s">
        <v>63</v>
      </c>
      <c r="C184">
        <v>1051939</v>
      </c>
      <c r="D184">
        <v>88.206666666666663</v>
      </c>
      <c r="E184">
        <v>11401369</v>
      </c>
      <c r="F184">
        <v>1472345.77</v>
      </c>
      <c r="G184">
        <v>1873594576</v>
      </c>
      <c r="H184" t="s">
        <v>81</v>
      </c>
      <c r="I184" t="s">
        <v>104</v>
      </c>
      <c r="J184">
        <v>1873594.5759999999</v>
      </c>
    </row>
    <row r="185" spans="1:10" x14ac:dyDescent="0.25">
      <c r="A185">
        <v>39</v>
      </c>
      <c r="B185" t="s">
        <v>67</v>
      </c>
      <c r="C185">
        <v>97480</v>
      </c>
      <c r="D185">
        <v>86.696666666666673</v>
      </c>
      <c r="E185">
        <v>904330</v>
      </c>
      <c r="F185">
        <v>145125.39000000001</v>
      </c>
      <c r="G185">
        <v>258818306</v>
      </c>
      <c r="H185" t="s">
        <v>81</v>
      </c>
      <c r="I185" t="s">
        <v>104</v>
      </c>
      <c r="J185">
        <v>258818.30600000001</v>
      </c>
    </row>
    <row r="186" spans="1:10" x14ac:dyDescent="0.25">
      <c r="A186">
        <v>51</v>
      </c>
      <c r="B186" t="s">
        <v>66</v>
      </c>
      <c r="C186">
        <v>179188</v>
      </c>
      <c r="D186">
        <v>80.686666666666667</v>
      </c>
      <c r="E186">
        <v>1951437</v>
      </c>
      <c r="F186">
        <v>224130</v>
      </c>
      <c r="G186">
        <v>333456499</v>
      </c>
      <c r="H186" t="s">
        <v>81</v>
      </c>
      <c r="I186" t="s">
        <v>104</v>
      </c>
      <c r="J186">
        <v>333456.49900000001</v>
      </c>
    </row>
    <row r="187" spans="1:10" x14ac:dyDescent="0.25">
      <c r="A187">
        <v>43</v>
      </c>
      <c r="B187" t="s">
        <v>63</v>
      </c>
      <c r="C187">
        <v>1023959</v>
      </c>
      <c r="D187">
        <v>86.87</v>
      </c>
      <c r="E187">
        <v>11380482</v>
      </c>
      <c r="F187">
        <v>1473706.79</v>
      </c>
      <c r="G187">
        <v>1833020108</v>
      </c>
      <c r="H187" t="s">
        <v>81</v>
      </c>
      <c r="I187" t="s">
        <v>104</v>
      </c>
      <c r="J187">
        <v>1833020.108</v>
      </c>
    </row>
    <row r="188" spans="1:10" x14ac:dyDescent="0.25">
      <c r="A188">
        <v>39</v>
      </c>
      <c r="B188" t="s">
        <v>64</v>
      </c>
      <c r="C188">
        <v>615460</v>
      </c>
      <c r="D188">
        <v>83.696666666666673</v>
      </c>
      <c r="E188">
        <v>5574877</v>
      </c>
      <c r="F188">
        <v>797969</v>
      </c>
      <c r="G188">
        <v>1151604028</v>
      </c>
      <c r="H188" t="s">
        <v>81</v>
      </c>
      <c r="I188" t="s">
        <v>104</v>
      </c>
      <c r="J188">
        <v>1151604.0279999999</v>
      </c>
    </row>
    <row r="189" spans="1:10" x14ac:dyDescent="0.25">
      <c r="A189">
        <v>40</v>
      </c>
      <c r="B189" t="s">
        <v>65</v>
      </c>
      <c r="C189">
        <v>169324</v>
      </c>
      <c r="D189">
        <v>83.996666666666655</v>
      </c>
      <c r="E189">
        <v>1968722</v>
      </c>
      <c r="F189">
        <v>220947.63</v>
      </c>
      <c r="G189">
        <v>476458144</v>
      </c>
      <c r="H189" t="s">
        <v>81</v>
      </c>
      <c r="I189" t="s">
        <v>104</v>
      </c>
      <c r="J189">
        <v>476458.14399999997</v>
      </c>
    </row>
    <row r="190" spans="1:10" x14ac:dyDescent="0.25">
      <c r="A190">
        <v>40</v>
      </c>
      <c r="B190" t="s">
        <v>67</v>
      </c>
      <c r="C190">
        <v>91936</v>
      </c>
      <c r="D190">
        <v>86.016666666666666</v>
      </c>
      <c r="E190">
        <v>862795</v>
      </c>
      <c r="F190">
        <v>136064.97</v>
      </c>
      <c r="G190">
        <v>229680014</v>
      </c>
      <c r="H190" t="s">
        <v>81</v>
      </c>
      <c r="I190" t="s">
        <v>104</v>
      </c>
      <c r="J190">
        <v>229680.014</v>
      </c>
    </row>
    <row r="191" spans="1:10" x14ac:dyDescent="0.25">
      <c r="A191">
        <v>40</v>
      </c>
      <c r="B191" t="s">
        <v>64</v>
      </c>
      <c r="C191">
        <v>654188</v>
      </c>
      <c r="D191">
        <v>83.6</v>
      </c>
      <c r="E191">
        <v>5704022</v>
      </c>
      <c r="F191">
        <v>819684</v>
      </c>
      <c r="G191">
        <v>1140077734</v>
      </c>
      <c r="H191" t="s">
        <v>81</v>
      </c>
      <c r="I191" t="s">
        <v>104</v>
      </c>
      <c r="J191">
        <v>1140077.7339999999</v>
      </c>
    </row>
    <row r="192" spans="1:10" x14ac:dyDescent="0.25">
      <c r="A192">
        <v>41</v>
      </c>
      <c r="B192" t="s">
        <v>65</v>
      </c>
      <c r="C192">
        <v>41574</v>
      </c>
      <c r="D192">
        <v>83.433333333333337</v>
      </c>
      <c r="E192">
        <v>1871279</v>
      </c>
      <c r="F192">
        <v>83295.87</v>
      </c>
      <c r="G192">
        <v>437105346</v>
      </c>
      <c r="H192" t="s">
        <v>81</v>
      </c>
      <c r="I192" t="s">
        <v>104</v>
      </c>
      <c r="J192">
        <v>437105.34600000002</v>
      </c>
    </row>
    <row r="193" spans="1:10" x14ac:dyDescent="0.25">
      <c r="A193">
        <v>41</v>
      </c>
      <c r="B193" t="s">
        <v>68</v>
      </c>
      <c r="C193">
        <v>27053</v>
      </c>
      <c r="D193">
        <v>86.706666666666663</v>
      </c>
      <c r="E193">
        <v>546583</v>
      </c>
      <c r="F193">
        <v>30567.659999999996</v>
      </c>
      <c r="G193">
        <v>120016516</v>
      </c>
      <c r="H193" t="s">
        <v>81</v>
      </c>
      <c r="I193" t="s">
        <v>104</v>
      </c>
      <c r="J193">
        <v>120016.516</v>
      </c>
    </row>
    <row r="194" spans="1:10" x14ac:dyDescent="0.25">
      <c r="A194">
        <v>41</v>
      </c>
      <c r="B194" t="s">
        <v>67</v>
      </c>
      <c r="C194">
        <v>56076</v>
      </c>
      <c r="D194">
        <v>83.736666666666665</v>
      </c>
      <c r="E194">
        <v>855796</v>
      </c>
      <c r="F194">
        <v>87804.39</v>
      </c>
      <c r="G194">
        <v>229636084</v>
      </c>
      <c r="H194" t="s">
        <v>81</v>
      </c>
      <c r="I194" t="s">
        <v>104</v>
      </c>
      <c r="J194">
        <v>229636.084</v>
      </c>
    </row>
    <row r="195" spans="1:10" x14ac:dyDescent="0.25">
      <c r="A195">
        <v>41</v>
      </c>
      <c r="B195" t="s">
        <v>64</v>
      </c>
      <c r="C195">
        <v>387114</v>
      </c>
      <c r="D195">
        <v>80.83</v>
      </c>
      <c r="E195">
        <v>5149183</v>
      </c>
      <c r="F195">
        <v>504939</v>
      </c>
      <c r="G195">
        <v>968501700</v>
      </c>
      <c r="H195" t="s">
        <v>81</v>
      </c>
      <c r="I195" t="s">
        <v>104</v>
      </c>
      <c r="J195">
        <v>968501.7</v>
      </c>
    </row>
    <row r="196" spans="1:10" x14ac:dyDescent="0.25">
      <c r="A196">
        <v>42</v>
      </c>
      <c r="B196" t="s">
        <v>66</v>
      </c>
      <c r="C196">
        <v>256378</v>
      </c>
      <c r="D196">
        <v>86.543333333333337</v>
      </c>
      <c r="E196">
        <v>2286496</v>
      </c>
      <c r="F196">
        <v>357660</v>
      </c>
      <c r="G196">
        <v>426337404</v>
      </c>
      <c r="H196" t="s">
        <v>81</v>
      </c>
      <c r="I196" t="s">
        <v>104</v>
      </c>
      <c r="J196">
        <v>426337.40399999998</v>
      </c>
    </row>
    <row r="197" spans="1:10" x14ac:dyDescent="0.25">
      <c r="A197">
        <v>42</v>
      </c>
      <c r="B197" t="s">
        <v>65</v>
      </c>
      <c r="C197">
        <v>179484</v>
      </c>
      <c r="D197">
        <v>87.27</v>
      </c>
      <c r="E197">
        <v>2105423</v>
      </c>
      <c r="F197">
        <v>249869.81</v>
      </c>
      <c r="G197">
        <v>484275565</v>
      </c>
      <c r="H197" t="s">
        <v>81</v>
      </c>
      <c r="I197" t="s">
        <v>104</v>
      </c>
      <c r="J197">
        <v>484275.565</v>
      </c>
    </row>
    <row r="198" spans="1:10" x14ac:dyDescent="0.25">
      <c r="A198">
        <v>42</v>
      </c>
      <c r="B198" t="s">
        <v>68</v>
      </c>
      <c r="C198">
        <v>80534</v>
      </c>
      <c r="D198">
        <v>88.483333333333334</v>
      </c>
      <c r="E198">
        <v>637664</v>
      </c>
      <c r="F198">
        <v>101147.5</v>
      </c>
      <c r="G198">
        <v>134095421</v>
      </c>
      <c r="H198" t="s">
        <v>81</v>
      </c>
      <c r="I198" t="s">
        <v>104</v>
      </c>
      <c r="J198">
        <v>134095.421</v>
      </c>
    </row>
    <row r="199" spans="1:10" x14ac:dyDescent="0.25">
      <c r="A199">
        <v>42</v>
      </c>
      <c r="B199" t="s">
        <v>67</v>
      </c>
      <c r="C199">
        <v>114510</v>
      </c>
      <c r="D199">
        <v>86.056666666666672</v>
      </c>
      <c r="E199">
        <v>1012956</v>
      </c>
      <c r="F199">
        <v>163938.36000000002</v>
      </c>
      <c r="G199">
        <v>265005455</v>
      </c>
      <c r="H199" t="s">
        <v>81</v>
      </c>
      <c r="I199" t="s">
        <v>104</v>
      </c>
      <c r="J199">
        <v>265005.45500000002</v>
      </c>
    </row>
    <row r="200" spans="1:10" x14ac:dyDescent="0.25">
      <c r="A200">
        <v>42</v>
      </c>
      <c r="B200" t="s">
        <v>64</v>
      </c>
      <c r="C200">
        <v>740536</v>
      </c>
      <c r="D200">
        <v>86.33</v>
      </c>
      <c r="E200">
        <v>5909468</v>
      </c>
      <c r="F200">
        <v>968047</v>
      </c>
      <c r="G200">
        <v>1084476761</v>
      </c>
      <c r="H200" t="s">
        <v>81</v>
      </c>
      <c r="I200" t="s">
        <v>104</v>
      </c>
      <c r="J200">
        <v>1084476.7609999999</v>
      </c>
    </row>
    <row r="201" spans="1:10" x14ac:dyDescent="0.25">
      <c r="A201">
        <v>43</v>
      </c>
      <c r="B201" t="s">
        <v>66</v>
      </c>
      <c r="C201">
        <v>311173</v>
      </c>
      <c r="D201">
        <v>86.063333333333333</v>
      </c>
      <c r="E201">
        <v>2387392</v>
      </c>
      <c r="F201">
        <v>407567</v>
      </c>
      <c r="G201">
        <v>412144359</v>
      </c>
      <c r="H201" t="s">
        <v>81</v>
      </c>
      <c r="I201" t="s">
        <v>104</v>
      </c>
      <c r="J201">
        <v>412144.359</v>
      </c>
    </row>
    <row r="202" spans="1:10" x14ac:dyDescent="0.25">
      <c r="A202">
        <v>43</v>
      </c>
      <c r="B202" t="s">
        <v>65</v>
      </c>
      <c r="C202">
        <v>186516</v>
      </c>
      <c r="D202">
        <v>86.173333333333332</v>
      </c>
      <c r="E202">
        <v>2086180</v>
      </c>
      <c r="F202">
        <v>243200.53999999998</v>
      </c>
      <c r="G202">
        <v>471055532</v>
      </c>
      <c r="H202" t="s">
        <v>81</v>
      </c>
      <c r="I202" t="s">
        <v>104</v>
      </c>
      <c r="J202">
        <v>471055.53200000001</v>
      </c>
    </row>
    <row r="203" spans="1:10" x14ac:dyDescent="0.25">
      <c r="A203">
        <v>43</v>
      </c>
      <c r="B203" t="s">
        <v>68</v>
      </c>
      <c r="C203">
        <v>87669</v>
      </c>
      <c r="D203">
        <v>86.210000000000008</v>
      </c>
      <c r="E203">
        <v>668517</v>
      </c>
      <c r="F203">
        <v>109289.17000000001</v>
      </c>
      <c r="G203">
        <v>143225931</v>
      </c>
      <c r="H203" t="s">
        <v>81</v>
      </c>
      <c r="I203" t="s">
        <v>104</v>
      </c>
      <c r="J203">
        <v>143225.93100000001</v>
      </c>
    </row>
    <row r="204" spans="1:10" x14ac:dyDescent="0.25">
      <c r="A204">
        <v>44</v>
      </c>
      <c r="B204" t="s">
        <v>66</v>
      </c>
      <c r="C204">
        <v>181235</v>
      </c>
      <c r="D204">
        <v>83.773333333333341</v>
      </c>
      <c r="E204">
        <v>2225889</v>
      </c>
      <c r="F204">
        <v>244158</v>
      </c>
      <c r="G204">
        <v>405557345</v>
      </c>
      <c r="H204" t="s">
        <v>81</v>
      </c>
      <c r="I204" t="s">
        <v>104</v>
      </c>
      <c r="J204">
        <v>405557.34499999997</v>
      </c>
    </row>
    <row r="205" spans="1:10" x14ac:dyDescent="0.25">
      <c r="A205">
        <v>43</v>
      </c>
      <c r="B205" t="s">
        <v>67</v>
      </c>
      <c r="C205">
        <v>83464</v>
      </c>
      <c r="D205">
        <v>84.63666666666667</v>
      </c>
      <c r="E205">
        <v>991968</v>
      </c>
      <c r="F205">
        <v>124681.86</v>
      </c>
      <c r="G205">
        <v>253846988</v>
      </c>
      <c r="H205" t="s">
        <v>81</v>
      </c>
      <c r="I205" t="s">
        <v>104</v>
      </c>
      <c r="J205">
        <v>253846.98800000001</v>
      </c>
    </row>
    <row r="206" spans="1:10" x14ac:dyDescent="0.25">
      <c r="A206">
        <v>52</v>
      </c>
      <c r="B206" t="s">
        <v>64</v>
      </c>
      <c r="C206">
        <v>67711</v>
      </c>
      <c r="D206">
        <v>81.053333333333327</v>
      </c>
      <c r="E206">
        <v>5051380</v>
      </c>
      <c r="F206">
        <v>194816</v>
      </c>
      <c r="G206">
        <v>1013177135</v>
      </c>
      <c r="H206" t="s">
        <v>81</v>
      </c>
      <c r="I206" t="s">
        <v>104</v>
      </c>
      <c r="J206">
        <v>1013177.135</v>
      </c>
    </row>
    <row r="207" spans="1:10" x14ac:dyDescent="0.25">
      <c r="A207">
        <v>43</v>
      </c>
      <c r="B207" t="s">
        <v>64</v>
      </c>
      <c r="C207">
        <v>658875</v>
      </c>
      <c r="D207">
        <v>83.39</v>
      </c>
      <c r="E207">
        <v>5639820</v>
      </c>
      <c r="F207">
        <v>819474</v>
      </c>
      <c r="G207">
        <v>1034876651</v>
      </c>
      <c r="H207" t="s">
        <v>81</v>
      </c>
      <c r="I207" t="s">
        <v>104</v>
      </c>
      <c r="J207">
        <v>1034876.651</v>
      </c>
    </row>
    <row r="208" spans="1:10" x14ac:dyDescent="0.25">
      <c r="A208">
        <v>44</v>
      </c>
      <c r="B208" t="s">
        <v>65</v>
      </c>
      <c r="C208">
        <v>161393</v>
      </c>
      <c r="D208">
        <v>82.926666666666677</v>
      </c>
      <c r="E208">
        <v>2031125</v>
      </c>
      <c r="F208">
        <v>227882.35</v>
      </c>
      <c r="G208">
        <v>454755085</v>
      </c>
      <c r="H208" t="s">
        <v>81</v>
      </c>
      <c r="I208" t="s">
        <v>104</v>
      </c>
      <c r="J208">
        <v>454755.08500000002</v>
      </c>
    </row>
    <row r="209" spans="1:10" x14ac:dyDescent="0.25">
      <c r="A209">
        <v>44</v>
      </c>
      <c r="B209" t="s">
        <v>68</v>
      </c>
      <c r="C209">
        <v>55591</v>
      </c>
      <c r="D209">
        <v>85.173333333333332</v>
      </c>
      <c r="E209">
        <v>655586</v>
      </c>
      <c r="F209">
        <v>67453.48</v>
      </c>
      <c r="G209">
        <v>146181799</v>
      </c>
      <c r="H209" t="s">
        <v>81</v>
      </c>
      <c r="I209" t="s">
        <v>104</v>
      </c>
      <c r="J209">
        <v>146181.799</v>
      </c>
    </row>
    <row r="210" spans="1:10" x14ac:dyDescent="0.25">
      <c r="A210">
        <v>44</v>
      </c>
      <c r="B210" t="s">
        <v>67</v>
      </c>
      <c r="C210">
        <v>81214</v>
      </c>
      <c r="D210">
        <v>85.536666666666662</v>
      </c>
      <c r="E210">
        <v>969816</v>
      </c>
      <c r="F210">
        <v>124623.94</v>
      </c>
      <c r="G210">
        <v>244988658</v>
      </c>
      <c r="H210" t="s">
        <v>81</v>
      </c>
      <c r="I210" t="s">
        <v>104</v>
      </c>
      <c r="J210">
        <v>244988.658</v>
      </c>
    </row>
    <row r="211" spans="1:10" x14ac:dyDescent="0.25">
      <c r="A211">
        <v>44</v>
      </c>
      <c r="B211" t="s">
        <v>64</v>
      </c>
      <c r="C211">
        <v>513799</v>
      </c>
      <c r="D211">
        <v>83.06</v>
      </c>
      <c r="E211">
        <v>5729282</v>
      </c>
      <c r="F211">
        <v>664733</v>
      </c>
      <c r="G211">
        <v>1055382052</v>
      </c>
      <c r="H211" t="s">
        <v>81</v>
      </c>
      <c r="I211" t="s">
        <v>104</v>
      </c>
      <c r="J211">
        <v>1055382.0519999999</v>
      </c>
    </row>
    <row r="212" spans="1:10" x14ac:dyDescent="0.25">
      <c r="A212">
        <v>8</v>
      </c>
      <c r="B212" t="s">
        <v>4</v>
      </c>
      <c r="C212">
        <v>-102197</v>
      </c>
      <c r="D212">
        <v>82.633333333333326</v>
      </c>
      <c r="E212">
        <v>5581210</v>
      </c>
      <c r="F212">
        <v>23195</v>
      </c>
      <c r="G212">
        <v>1431008126</v>
      </c>
      <c r="H212" t="s">
        <v>81</v>
      </c>
      <c r="I212" t="s">
        <v>105</v>
      </c>
      <c r="J212">
        <v>1431008.1259999999</v>
      </c>
    </row>
    <row r="213" spans="1:10" x14ac:dyDescent="0.25">
      <c r="A213">
        <v>9</v>
      </c>
      <c r="B213" t="s">
        <v>4</v>
      </c>
      <c r="C213">
        <v>-430511</v>
      </c>
      <c r="D213">
        <v>78.486666666666665</v>
      </c>
      <c r="E213">
        <v>5527195</v>
      </c>
      <c r="F213">
        <v>-265694.14</v>
      </c>
      <c r="G213">
        <v>1589853447</v>
      </c>
      <c r="H213" t="s">
        <v>81</v>
      </c>
      <c r="I213" t="s">
        <v>105</v>
      </c>
      <c r="J213">
        <v>1589853.4469999999</v>
      </c>
    </row>
    <row r="214" spans="1:10" x14ac:dyDescent="0.25">
      <c r="A214">
        <v>11</v>
      </c>
      <c r="B214" t="s">
        <v>4</v>
      </c>
      <c r="C214">
        <v>-153152</v>
      </c>
      <c r="D214">
        <v>85.693333333333328</v>
      </c>
      <c r="E214">
        <v>6370948</v>
      </c>
      <c r="F214">
        <v>9503</v>
      </c>
      <c r="G214">
        <v>1946783065</v>
      </c>
      <c r="H214" t="s">
        <v>81</v>
      </c>
      <c r="I214" t="s">
        <v>105</v>
      </c>
      <c r="J214">
        <v>1946783.0649999999</v>
      </c>
    </row>
    <row r="215" spans="1:10" x14ac:dyDescent="0.25">
      <c r="A215">
        <v>12</v>
      </c>
      <c r="B215" t="s">
        <v>4</v>
      </c>
      <c r="C215">
        <v>-1097082</v>
      </c>
      <c r="D215">
        <v>83.88333333333334</v>
      </c>
      <c r="E215">
        <v>5950882</v>
      </c>
      <c r="F215">
        <v>-797426</v>
      </c>
      <c r="G215">
        <v>1720946322</v>
      </c>
      <c r="H215" t="s">
        <v>81</v>
      </c>
      <c r="I215" t="s">
        <v>105</v>
      </c>
      <c r="J215">
        <v>1720946.3219999999</v>
      </c>
    </row>
    <row r="216" spans="1:10" x14ac:dyDescent="0.25">
      <c r="A216">
        <v>14</v>
      </c>
      <c r="B216" t="s">
        <v>4</v>
      </c>
      <c r="C216">
        <v>-263749</v>
      </c>
      <c r="D216">
        <v>86.696666666666658</v>
      </c>
      <c r="E216">
        <v>6447195</v>
      </c>
      <c r="F216">
        <v>121736</v>
      </c>
      <c r="G216">
        <v>1903104137</v>
      </c>
      <c r="H216" t="s">
        <v>81</v>
      </c>
      <c r="I216" t="s">
        <v>105</v>
      </c>
      <c r="J216">
        <v>1903104.1370000001</v>
      </c>
    </row>
    <row r="217" spans="1:10" x14ac:dyDescent="0.25">
      <c r="A217">
        <v>15</v>
      </c>
      <c r="B217" t="s">
        <v>4</v>
      </c>
      <c r="C217">
        <v>-256922</v>
      </c>
      <c r="D217">
        <v>85.68</v>
      </c>
      <c r="E217">
        <v>6421755</v>
      </c>
      <c r="F217">
        <v>26537</v>
      </c>
      <c r="G217">
        <v>1882491065</v>
      </c>
      <c r="H217" t="s">
        <v>81</v>
      </c>
      <c r="I217" t="s">
        <v>105</v>
      </c>
      <c r="J217">
        <v>1882491.0649999999</v>
      </c>
    </row>
    <row r="218" spans="1:10" x14ac:dyDescent="0.25">
      <c r="A218">
        <v>16</v>
      </c>
      <c r="B218" t="s">
        <v>4</v>
      </c>
      <c r="C218">
        <v>270778</v>
      </c>
      <c r="D218">
        <v>83.23</v>
      </c>
      <c r="E218">
        <v>5924671</v>
      </c>
      <c r="F218">
        <v>-6038</v>
      </c>
      <c r="G218">
        <v>1857853853</v>
      </c>
      <c r="H218" t="s">
        <v>81</v>
      </c>
      <c r="I218" t="s">
        <v>105</v>
      </c>
      <c r="J218">
        <v>1857853.8529999999</v>
      </c>
    </row>
    <row r="219" spans="1:10" x14ac:dyDescent="0.25">
      <c r="A219">
        <v>17</v>
      </c>
      <c r="B219" t="s">
        <v>4</v>
      </c>
      <c r="C219">
        <v>-252848</v>
      </c>
      <c r="D219">
        <v>82.320000000000007</v>
      </c>
      <c r="E219">
        <v>6085027</v>
      </c>
      <c r="F219">
        <v>46978</v>
      </c>
      <c r="G219">
        <v>1879909242</v>
      </c>
      <c r="H219" t="s">
        <v>81</v>
      </c>
      <c r="I219" t="s">
        <v>105</v>
      </c>
      <c r="J219">
        <v>1879909.2420000001</v>
      </c>
    </row>
    <row r="220" spans="1:10" x14ac:dyDescent="0.25">
      <c r="A220">
        <v>18</v>
      </c>
      <c r="B220" t="s">
        <v>4</v>
      </c>
      <c r="C220">
        <v>227756</v>
      </c>
      <c r="D220">
        <v>87.036666666666662</v>
      </c>
      <c r="E220">
        <v>6436819</v>
      </c>
      <c r="F220">
        <v>478048</v>
      </c>
      <c r="G220">
        <v>1825113708</v>
      </c>
      <c r="H220" t="s">
        <v>81</v>
      </c>
      <c r="I220" t="s">
        <v>105</v>
      </c>
      <c r="J220">
        <v>1825113.7080000001</v>
      </c>
    </row>
    <row r="221" spans="1:10" x14ac:dyDescent="0.25">
      <c r="A221">
        <v>53</v>
      </c>
      <c r="B221" t="s">
        <v>4</v>
      </c>
      <c r="C221">
        <v>-1577921</v>
      </c>
      <c r="D221">
        <v>79.08</v>
      </c>
      <c r="E221">
        <v>8895596</v>
      </c>
      <c r="F221">
        <v>-1695175.88</v>
      </c>
      <c r="G221">
        <v>1888371230</v>
      </c>
      <c r="H221" t="s">
        <v>81</v>
      </c>
      <c r="I221" t="s">
        <v>105</v>
      </c>
      <c r="J221">
        <v>1888371.23</v>
      </c>
    </row>
    <row r="222" spans="1:10" x14ac:dyDescent="0.25">
      <c r="A222">
        <v>20</v>
      </c>
      <c r="B222" t="s">
        <v>4</v>
      </c>
      <c r="C222">
        <v>-1790454</v>
      </c>
      <c r="D222">
        <v>83.166666666666671</v>
      </c>
      <c r="E222">
        <v>6421791</v>
      </c>
      <c r="F222">
        <v>280716</v>
      </c>
      <c r="G222">
        <v>1814912783</v>
      </c>
      <c r="H222" t="s">
        <v>81</v>
      </c>
      <c r="I222" t="s">
        <v>105</v>
      </c>
      <c r="J222">
        <v>1814912.7830000001</v>
      </c>
    </row>
    <row r="223" spans="1:10" x14ac:dyDescent="0.25">
      <c r="A223">
        <v>53</v>
      </c>
      <c r="B223" t="s">
        <v>63</v>
      </c>
      <c r="C223">
        <v>-1377168</v>
      </c>
      <c r="D223">
        <v>76.930000000000007</v>
      </c>
      <c r="E223">
        <v>7566359</v>
      </c>
      <c r="F223">
        <v>-1375235.78</v>
      </c>
      <c r="G223">
        <v>1764219818</v>
      </c>
      <c r="H223" t="s">
        <v>81</v>
      </c>
      <c r="I223" t="s">
        <v>105</v>
      </c>
      <c r="J223">
        <v>1764219.818</v>
      </c>
    </row>
    <row r="224" spans="1:10" x14ac:dyDescent="0.25">
      <c r="A224">
        <v>23</v>
      </c>
      <c r="B224" t="s">
        <v>4</v>
      </c>
      <c r="C224">
        <v>465461</v>
      </c>
      <c r="D224">
        <v>86.46</v>
      </c>
      <c r="E224">
        <v>7054509</v>
      </c>
      <c r="F224">
        <v>697557</v>
      </c>
      <c r="G224">
        <v>1840157541</v>
      </c>
      <c r="H224" t="s">
        <v>81</v>
      </c>
      <c r="I224" t="s">
        <v>105</v>
      </c>
      <c r="J224">
        <v>1840157.541</v>
      </c>
    </row>
    <row r="225" spans="1:10" x14ac:dyDescent="0.25">
      <c r="A225">
        <v>53</v>
      </c>
      <c r="B225" t="s">
        <v>62</v>
      </c>
      <c r="C225">
        <v>-905584</v>
      </c>
      <c r="D225">
        <v>79.17</v>
      </c>
      <c r="E225">
        <v>9365458</v>
      </c>
      <c r="F225">
        <v>-684114</v>
      </c>
      <c r="G225">
        <v>1801445799</v>
      </c>
      <c r="H225" t="s">
        <v>81</v>
      </c>
      <c r="I225" t="s">
        <v>105</v>
      </c>
      <c r="J225">
        <v>1801445.7990000001</v>
      </c>
    </row>
    <row r="226" spans="1:10" x14ac:dyDescent="0.25">
      <c r="A226">
        <v>56</v>
      </c>
      <c r="B226" t="s">
        <v>64</v>
      </c>
      <c r="C226">
        <v>-220192</v>
      </c>
      <c r="D226">
        <v>83.256666666666675</v>
      </c>
      <c r="E226">
        <v>6172186</v>
      </c>
      <c r="F226">
        <v>-385541</v>
      </c>
      <c r="G226">
        <v>1514713785</v>
      </c>
      <c r="H226" t="s">
        <v>81</v>
      </c>
      <c r="I226" t="s">
        <v>105</v>
      </c>
      <c r="J226">
        <v>1514713.7849999999</v>
      </c>
    </row>
    <row r="227" spans="1:10" x14ac:dyDescent="0.25">
      <c r="A227">
        <v>8</v>
      </c>
      <c r="B227" t="s">
        <v>66</v>
      </c>
      <c r="C227">
        <v>63282</v>
      </c>
      <c r="D227">
        <v>83.686666666666667</v>
      </c>
      <c r="E227">
        <v>860453</v>
      </c>
      <c r="F227">
        <v>90134</v>
      </c>
      <c r="G227">
        <v>197831610</v>
      </c>
      <c r="H227" t="s">
        <v>81</v>
      </c>
      <c r="I227" t="s">
        <v>105</v>
      </c>
      <c r="J227">
        <v>197831.61</v>
      </c>
    </row>
    <row r="228" spans="1:10" x14ac:dyDescent="0.25">
      <c r="A228">
        <v>8</v>
      </c>
      <c r="B228" t="s">
        <v>65</v>
      </c>
      <c r="C228">
        <v>9040</v>
      </c>
      <c r="D228">
        <v>82.416666666666657</v>
      </c>
      <c r="E228">
        <v>939309</v>
      </c>
      <c r="F228">
        <v>60276.759999999995</v>
      </c>
      <c r="G228">
        <v>289852121</v>
      </c>
      <c r="H228" t="s">
        <v>81</v>
      </c>
      <c r="I228" t="s">
        <v>105</v>
      </c>
      <c r="J228">
        <v>289852.12099999998</v>
      </c>
    </row>
    <row r="229" spans="1:10" x14ac:dyDescent="0.25">
      <c r="A229">
        <v>8</v>
      </c>
      <c r="B229" t="s">
        <v>62</v>
      </c>
      <c r="C229">
        <v>98451</v>
      </c>
      <c r="D229">
        <v>82.446666666666658</v>
      </c>
      <c r="E229">
        <v>7821963</v>
      </c>
      <c r="F229">
        <v>390405</v>
      </c>
      <c r="G229">
        <v>1862349102</v>
      </c>
      <c r="H229" t="s">
        <v>81</v>
      </c>
      <c r="I229" t="s">
        <v>105</v>
      </c>
      <c r="J229">
        <v>1862349.102</v>
      </c>
    </row>
    <row r="230" spans="1:10" x14ac:dyDescent="0.25">
      <c r="A230">
        <v>8</v>
      </c>
      <c r="B230" t="s">
        <v>68</v>
      </c>
      <c r="C230">
        <v>-13895</v>
      </c>
      <c r="D230">
        <v>82.55</v>
      </c>
      <c r="E230">
        <v>384851</v>
      </c>
      <c r="F230">
        <v>-15930.160000000002</v>
      </c>
      <c r="G230">
        <v>136431049</v>
      </c>
      <c r="H230" t="s">
        <v>81</v>
      </c>
      <c r="I230" t="s">
        <v>105</v>
      </c>
      <c r="J230">
        <v>136431.049</v>
      </c>
    </row>
    <row r="231" spans="1:10" x14ac:dyDescent="0.25">
      <c r="A231">
        <v>8</v>
      </c>
      <c r="B231" t="s">
        <v>61</v>
      </c>
      <c r="C231">
        <v>17157</v>
      </c>
      <c r="D231">
        <v>89.91</v>
      </c>
      <c r="E231">
        <v>155706</v>
      </c>
      <c r="F231">
        <v>17310.77</v>
      </c>
      <c r="G231">
        <v>64459901</v>
      </c>
      <c r="H231" t="s">
        <v>81</v>
      </c>
      <c r="I231" t="s">
        <v>105</v>
      </c>
      <c r="J231">
        <v>64459.900999999998</v>
      </c>
    </row>
    <row r="232" spans="1:10" x14ac:dyDescent="0.25">
      <c r="A232">
        <v>8</v>
      </c>
      <c r="B232" t="s">
        <v>60</v>
      </c>
      <c r="C232">
        <v>71166</v>
      </c>
      <c r="D232">
        <v>86.67</v>
      </c>
      <c r="E232">
        <v>345209</v>
      </c>
      <c r="F232">
        <v>23026.5</v>
      </c>
      <c r="G232">
        <v>86073690</v>
      </c>
      <c r="H232" t="s">
        <v>81</v>
      </c>
      <c r="I232" t="s">
        <v>105</v>
      </c>
      <c r="J232">
        <v>86073.69</v>
      </c>
    </row>
    <row r="233" spans="1:10" x14ac:dyDescent="0.25">
      <c r="A233">
        <v>8</v>
      </c>
      <c r="B233" t="s">
        <v>67</v>
      </c>
      <c r="C233">
        <v>9530</v>
      </c>
      <c r="D233">
        <v>85.36</v>
      </c>
      <c r="E233">
        <v>216200</v>
      </c>
      <c r="F233">
        <v>21975.170000000002</v>
      </c>
      <c r="G233">
        <v>70046947</v>
      </c>
      <c r="H233" t="s">
        <v>81</v>
      </c>
      <c r="I233" t="s">
        <v>105</v>
      </c>
      <c r="J233">
        <v>70046.947</v>
      </c>
    </row>
    <row r="234" spans="1:10" x14ac:dyDescent="0.25">
      <c r="A234">
        <v>16</v>
      </c>
      <c r="B234" t="s">
        <v>63</v>
      </c>
      <c r="C234">
        <v>-574336</v>
      </c>
      <c r="D234">
        <v>84.35</v>
      </c>
      <c r="E234">
        <v>8703439</v>
      </c>
      <c r="F234">
        <v>-455535.95999999996</v>
      </c>
      <c r="G234">
        <v>2401929622</v>
      </c>
      <c r="H234" t="s">
        <v>81</v>
      </c>
      <c r="I234" t="s">
        <v>105</v>
      </c>
      <c r="J234">
        <v>2401929.622</v>
      </c>
    </row>
    <row r="235" spans="1:10" x14ac:dyDescent="0.25">
      <c r="A235">
        <v>8</v>
      </c>
      <c r="B235" t="s">
        <v>63</v>
      </c>
      <c r="C235">
        <v>-207625</v>
      </c>
      <c r="D235">
        <v>84.173333333333332</v>
      </c>
      <c r="E235">
        <v>4880534</v>
      </c>
      <c r="F235">
        <v>83410</v>
      </c>
      <c r="G235">
        <v>1131262699</v>
      </c>
      <c r="H235" t="s">
        <v>81</v>
      </c>
      <c r="I235" t="s">
        <v>105</v>
      </c>
      <c r="J235">
        <v>1131262.699</v>
      </c>
    </row>
    <row r="236" spans="1:10" x14ac:dyDescent="0.25">
      <c r="A236">
        <v>8</v>
      </c>
      <c r="B236" t="s">
        <v>64</v>
      </c>
      <c r="C236">
        <v>131236</v>
      </c>
      <c r="D236">
        <v>80.7</v>
      </c>
      <c r="E236">
        <v>3113597</v>
      </c>
      <c r="F236">
        <v>215531</v>
      </c>
      <c r="G236">
        <v>900272436</v>
      </c>
      <c r="H236" t="s">
        <v>81</v>
      </c>
      <c r="I236" t="s">
        <v>105</v>
      </c>
      <c r="J236">
        <v>900272.43599999999</v>
      </c>
    </row>
    <row r="237" spans="1:10" x14ac:dyDescent="0.25">
      <c r="A237">
        <v>9</v>
      </c>
      <c r="B237" t="s">
        <v>66</v>
      </c>
      <c r="C237">
        <v>79837</v>
      </c>
      <c r="D237">
        <v>82.976666666666674</v>
      </c>
      <c r="E237">
        <v>962809</v>
      </c>
      <c r="F237">
        <v>46459</v>
      </c>
      <c r="G237">
        <v>271969873</v>
      </c>
      <c r="H237" t="s">
        <v>81</v>
      </c>
      <c r="I237" t="s">
        <v>105</v>
      </c>
      <c r="J237">
        <v>271969.87300000002</v>
      </c>
    </row>
    <row r="238" spans="1:10" x14ac:dyDescent="0.25">
      <c r="A238">
        <v>9</v>
      </c>
      <c r="B238" t="s">
        <v>65</v>
      </c>
      <c r="C238">
        <v>3364</v>
      </c>
      <c r="D238">
        <v>81.846666666666664</v>
      </c>
      <c r="E238">
        <v>1012854</v>
      </c>
      <c r="F238">
        <v>44904.240000000005</v>
      </c>
      <c r="G238">
        <v>352790622</v>
      </c>
      <c r="H238" t="s">
        <v>81</v>
      </c>
      <c r="I238" t="s">
        <v>105</v>
      </c>
      <c r="J238">
        <v>352790.62199999997</v>
      </c>
    </row>
    <row r="239" spans="1:10" x14ac:dyDescent="0.25">
      <c r="A239">
        <v>9</v>
      </c>
      <c r="B239" t="s">
        <v>62</v>
      </c>
      <c r="C239">
        <v>-295020</v>
      </c>
      <c r="D239">
        <v>80.373333333333335</v>
      </c>
      <c r="E239">
        <v>7798984</v>
      </c>
      <c r="F239">
        <v>-74431</v>
      </c>
      <c r="G239">
        <v>2093561204</v>
      </c>
      <c r="H239" t="s">
        <v>81</v>
      </c>
      <c r="I239" t="s">
        <v>105</v>
      </c>
      <c r="J239">
        <v>2093561.2039999999</v>
      </c>
    </row>
    <row r="240" spans="1:10" x14ac:dyDescent="0.25">
      <c r="A240">
        <v>9</v>
      </c>
      <c r="B240" t="s">
        <v>68</v>
      </c>
      <c r="C240">
        <v>-36469</v>
      </c>
      <c r="D240">
        <v>79.733333333333334</v>
      </c>
      <c r="E240">
        <v>387055</v>
      </c>
      <c r="F240">
        <v>-56925.98</v>
      </c>
      <c r="G240">
        <v>157364350</v>
      </c>
      <c r="H240" t="s">
        <v>81</v>
      </c>
      <c r="I240" t="s">
        <v>105</v>
      </c>
      <c r="J240">
        <v>157364.35</v>
      </c>
    </row>
    <row r="241" spans="1:10" x14ac:dyDescent="0.25">
      <c r="A241">
        <v>53</v>
      </c>
      <c r="B241" t="s">
        <v>65</v>
      </c>
      <c r="C241">
        <v>-254675</v>
      </c>
      <c r="D241">
        <v>71.259999999999991</v>
      </c>
      <c r="E241">
        <v>1736049</v>
      </c>
      <c r="F241">
        <v>-369175.38</v>
      </c>
      <c r="G241">
        <v>570974244</v>
      </c>
      <c r="H241" t="s">
        <v>81</v>
      </c>
      <c r="I241" t="s">
        <v>105</v>
      </c>
      <c r="J241">
        <v>570974.24399999995</v>
      </c>
    </row>
    <row r="242" spans="1:10" x14ac:dyDescent="0.25">
      <c r="A242">
        <v>9</v>
      </c>
      <c r="B242" t="s">
        <v>61</v>
      </c>
      <c r="C242">
        <v>23384</v>
      </c>
      <c r="D242">
        <v>92.826666666666668</v>
      </c>
      <c r="E242">
        <v>185072</v>
      </c>
      <c r="F242">
        <v>23610.76</v>
      </c>
      <c r="G242">
        <v>86159971</v>
      </c>
      <c r="H242" t="s">
        <v>81</v>
      </c>
      <c r="I242" t="s">
        <v>105</v>
      </c>
      <c r="J242">
        <v>86159.971000000005</v>
      </c>
    </row>
    <row r="243" spans="1:10" x14ac:dyDescent="0.25">
      <c r="A243">
        <v>9</v>
      </c>
      <c r="B243" t="s">
        <v>60</v>
      </c>
      <c r="C243">
        <v>2376</v>
      </c>
      <c r="D243">
        <v>85.706666666666663</v>
      </c>
      <c r="E243">
        <v>366149</v>
      </c>
      <c r="F243">
        <v>-3579.8599999999997</v>
      </c>
      <c r="G243">
        <v>105450695</v>
      </c>
      <c r="H243" t="s">
        <v>81</v>
      </c>
      <c r="I243" t="s">
        <v>105</v>
      </c>
      <c r="J243">
        <v>105450.69500000001</v>
      </c>
    </row>
    <row r="244" spans="1:10" x14ac:dyDescent="0.25">
      <c r="A244">
        <v>56</v>
      </c>
      <c r="B244" t="s">
        <v>67</v>
      </c>
      <c r="C244">
        <v>-270664</v>
      </c>
      <c r="D244">
        <v>81.596666666666664</v>
      </c>
      <c r="E244">
        <v>1391310</v>
      </c>
      <c r="F244">
        <v>-305729.46000000002</v>
      </c>
      <c r="G244">
        <v>494255264</v>
      </c>
      <c r="H244" t="s">
        <v>81</v>
      </c>
      <c r="I244" t="s">
        <v>105</v>
      </c>
      <c r="J244">
        <v>494255.26400000002</v>
      </c>
    </row>
    <row r="245" spans="1:10" x14ac:dyDescent="0.25">
      <c r="A245">
        <v>9</v>
      </c>
      <c r="B245" t="s">
        <v>67</v>
      </c>
      <c r="C245">
        <v>6377</v>
      </c>
      <c r="D245">
        <v>84.686666666666667</v>
      </c>
      <c r="E245">
        <v>232662</v>
      </c>
      <c r="F245">
        <v>26844.18</v>
      </c>
      <c r="G245">
        <v>70366749</v>
      </c>
      <c r="H245" t="s">
        <v>81</v>
      </c>
      <c r="I245" t="s">
        <v>105</v>
      </c>
      <c r="J245">
        <v>70366.748999999996</v>
      </c>
    </row>
    <row r="246" spans="1:10" x14ac:dyDescent="0.25">
      <c r="A246">
        <v>9</v>
      </c>
      <c r="B246" t="s">
        <v>63</v>
      </c>
      <c r="C246">
        <v>-159711</v>
      </c>
      <c r="D246">
        <v>82.539999999999992</v>
      </c>
      <c r="E246">
        <v>4675619</v>
      </c>
      <c r="F246">
        <v>9616.6500000000087</v>
      </c>
      <c r="G246">
        <v>1258902773</v>
      </c>
      <c r="H246" t="s">
        <v>81</v>
      </c>
      <c r="I246" t="s">
        <v>105</v>
      </c>
      <c r="J246">
        <v>1258902.773</v>
      </c>
    </row>
    <row r="247" spans="1:10" x14ac:dyDescent="0.25">
      <c r="A247">
        <v>12</v>
      </c>
      <c r="B247" t="s">
        <v>63</v>
      </c>
      <c r="C247">
        <v>-254571</v>
      </c>
      <c r="D247">
        <v>86.446666666666673</v>
      </c>
      <c r="E247">
        <v>5052795</v>
      </c>
      <c r="F247">
        <v>-134214.82</v>
      </c>
      <c r="G247">
        <v>1378675451</v>
      </c>
      <c r="H247" t="s">
        <v>81</v>
      </c>
      <c r="I247" t="s">
        <v>105</v>
      </c>
      <c r="J247">
        <v>1378675.4509999999</v>
      </c>
    </row>
    <row r="248" spans="1:10" x14ac:dyDescent="0.25">
      <c r="A248">
        <v>9</v>
      </c>
      <c r="B248" t="s">
        <v>64</v>
      </c>
      <c r="C248">
        <v>4854</v>
      </c>
      <c r="D248">
        <v>78.176666666666662</v>
      </c>
      <c r="E248">
        <v>3102893</v>
      </c>
      <c r="F248">
        <v>114098</v>
      </c>
      <c r="G248">
        <v>987209990</v>
      </c>
      <c r="H248" t="s">
        <v>81</v>
      </c>
      <c r="I248" t="s">
        <v>105</v>
      </c>
      <c r="J248">
        <v>987209.99</v>
      </c>
    </row>
    <row r="249" spans="1:10" x14ac:dyDescent="0.25">
      <c r="A249">
        <v>53</v>
      </c>
      <c r="B249" t="s">
        <v>66</v>
      </c>
      <c r="C249">
        <v>-89902</v>
      </c>
      <c r="D249">
        <v>76.039999999999992</v>
      </c>
      <c r="E249">
        <v>1680082</v>
      </c>
      <c r="F249">
        <v>-273161</v>
      </c>
      <c r="G249">
        <v>436216443</v>
      </c>
      <c r="H249" t="s">
        <v>81</v>
      </c>
      <c r="I249" t="s">
        <v>105</v>
      </c>
      <c r="J249">
        <v>436216.44300000003</v>
      </c>
    </row>
    <row r="250" spans="1:10" x14ac:dyDescent="0.25">
      <c r="A250">
        <v>55</v>
      </c>
      <c r="B250" t="s">
        <v>4</v>
      </c>
      <c r="C250">
        <v>539309</v>
      </c>
      <c r="D250">
        <v>86.786666666666676</v>
      </c>
      <c r="E250">
        <v>13461344</v>
      </c>
      <c r="F250">
        <v>934963.19</v>
      </c>
      <c r="G250">
        <v>3038963346</v>
      </c>
      <c r="H250" t="s">
        <v>81</v>
      </c>
      <c r="I250" t="s">
        <v>105</v>
      </c>
      <c r="J250">
        <v>3038963.3459999999</v>
      </c>
    </row>
    <row r="251" spans="1:10" x14ac:dyDescent="0.25">
      <c r="A251">
        <v>56</v>
      </c>
      <c r="B251" t="s">
        <v>4</v>
      </c>
      <c r="C251">
        <v>854459</v>
      </c>
      <c r="D251">
        <v>85.56</v>
      </c>
      <c r="E251">
        <v>13187523</v>
      </c>
      <c r="F251">
        <v>1379327.4100000001</v>
      </c>
      <c r="G251">
        <v>2723071403</v>
      </c>
      <c r="H251" t="s">
        <v>81</v>
      </c>
      <c r="I251" t="s">
        <v>105</v>
      </c>
      <c r="J251">
        <v>2723071.4029999999</v>
      </c>
    </row>
    <row r="252" spans="1:10" x14ac:dyDescent="0.25">
      <c r="A252">
        <v>11</v>
      </c>
      <c r="B252" t="s">
        <v>66</v>
      </c>
      <c r="C252">
        <v>75284</v>
      </c>
      <c r="D252">
        <v>86.846666666666664</v>
      </c>
      <c r="E252">
        <v>1196092</v>
      </c>
      <c r="F252">
        <v>219916</v>
      </c>
      <c r="G252">
        <v>311519634</v>
      </c>
      <c r="H252" t="s">
        <v>81</v>
      </c>
      <c r="I252" t="s">
        <v>105</v>
      </c>
      <c r="J252">
        <v>311519.63400000002</v>
      </c>
    </row>
    <row r="253" spans="1:10" x14ac:dyDescent="0.25">
      <c r="A253">
        <v>11</v>
      </c>
      <c r="B253" t="s">
        <v>65</v>
      </c>
      <c r="C253">
        <v>34298</v>
      </c>
      <c r="D253">
        <v>84.843333333333334</v>
      </c>
      <c r="E253">
        <v>1196484</v>
      </c>
      <c r="F253">
        <v>108361.37999999999</v>
      </c>
      <c r="G253">
        <v>453761732</v>
      </c>
      <c r="H253" t="s">
        <v>81</v>
      </c>
      <c r="I253" t="s">
        <v>105</v>
      </c>
      <c r="J253">
        <v>453761.73200000002</v>
      </c>
    </row>
    <row r="254" spans="1:10" x14ac:dyDescent="0.25">
      <c r="A254">
        <v>11</v>
      </c>
      <c r="B254" t="s">
        <v>62</v>
      </c>
      <c r="C254">
        <v>562182</v>
      </c>
      <c r="D254">
        <v>87.463333333333338</v>
      </c>
      <c r="E254">
        <v>9889548</v>
      </c>
      <c r="F254">
        <v>866109</v>
      </c>
      <c r="G254">
        <v>2601127091</v>
      </c>
      <c r="H254" t="s">
        <v>81</v>
      </c>
      <c r="I254" t="s">
        <v>105</v>
      </c>
      <c r="J254">
        <v>2601127.091</v>
      </c>
    </row>
    <row r="255" spans="1:10" x14ac:dyDescent="0.25">
      <c r="A255">
        <v>11</v>
      </c>
      <c r="B255" t="s">
        <v>68</v>
      </c>
      <c r="C255">
        <v>551</v>
      </c>
      <c r="D255">
        <v>90.75333333333333</v>
      </c>
      <c r="E255">
        <v>481967</v>
      </c>
      <c r="F255">
        <v>2431.3700000000003</v>
      </c>
      <c r="G255">
        <v>137756224</v>
      </c>
      <c r="H255" t="s">
        <v>81</v>
      </c>
      <c r="I255" t="s">
        <v>105</v>
      </c>
      <c r="J255">
        <v>137756.22399999999</v>
      </c>
    </row>
    <row r="256" spans="1:10" x14ac:dyDescent="0.25">
      <c r="A256">
        <v>11</v>
      </c>
      <c r="B256" t="s">
        <v>61</v>
      </c>
      <c r="C256">
        <v>10722</v>
      </c>
      <c r="D256">
        <v>91.88</v>
      </c>
      <c r="E256">
        <v>182623</v>
      </c>
      <c r="F256">
        <v>10944.59</v>
      </c>
      <c r="G256">
        <v>90049943</v>
      </c>
      <c r="H256" t="s">
        <v>81</v>
      </c>
      <c r="I256" t="s">
        <v>105</v>
      </c>
      <c r="J256">
        <v>90049.942999999999</v>
      </c>
    </row>
    <row r="257" spans="1:10" x14ac:dyDescent="0.25">
      <c r="A257">
        <v>11</v>
      </c>
      <c r="B257" t="s">
        <v>60</v>
      </c>
      <c r="C257">
        <v>28374</v>
      </c>
      <c r="D257">
        <v>86.346666666666664</v>
      </c>
      <c r="E257">
        <v>455894</v>
      </c>
      <c r="F257">
        <v>61726.65</v>
      </c>
      <c r="G257">
        <v>131788395</v>
      </c>
      <c r="H257" t="s">
        <v>81</v>
      </c>
      <c r="I257" t="s">
        <v>105</v>
      </c>
      <c r="J257">
        <v>131788.39499999999</v>
      </c>
    </row>
    <row r="258" spans="1:10" x14ac:dyDescent="0.25">
      <c r="A258">
        <v>11</v>
      </c>
      <c r="B258" t="s">
        <v>67</v>
      </c>
      <c r="C258">
        <v>22873</v>
      </c>
      <c r="D258">
        <v>87.4</v>
      </c>
      <c r="E258">
        <v>288714</v>
      </c>
      <c r="F258">
        <v>44556.160000000003</v>
      </c>
      <c r="G258">
        <v>104984443</v>
      </c>
      <c r="H258" t="s">
        <v>81</v>
      </c>
      <c r="I258" t="s">
        <v>105</v>
      </c>
      <c r="J258">
        <v>104984.443</v>
      </c>
    </row>
    <row r="259" spans="1:10" x14ac:dyDescent="0.25">
      <c r="A259">
        <v>11</v>
      </c>
      <c r="B259" t="s">
        <v>63</v>
      </c>
      <c r="C259">
        <v>414480</v>
      </c>
      <c r="D259">
        <v>88.923333333333332</v>
      </c>
      <c r="E259">
        <v>5856265</v>
      </c>
      <c r="F259">
        <v>577761.57999999996</v>
      </c>
      <c r="G259">
        <v>1590410007</v>
      </c>
      <c r="H259" t="s">
        <v>81</v>
      </c>
      <c r="I259" t="s">
        <v>105</v>
      </c>
      <c r="J259">
        <v>1590410.007</v>
      </c>
    </row>
    <row r="260" spans="1:10" x14ac:dyDescent="0.25">
      <c r="A260">
        <v>11</v>
      </c>
      <c r="B260" t="s">
        <v>64</v>
      </c>
      <c r="C260">
        <v>-142708</v>
      </c>
      <c r="D260">
        <v>81.56</v>
      </c>
      <c r="E260">
        <v>3552684</v>
      </c>
      <c r="F260">
        <v>206813</v>
      </c>
      <c r="G260">
        <v>1241328339</v>
      </c>
      <c r="H260" t="s">
        <v>81</v>
      </c>
      <c r="I260" t="s">
        <v>105</v>
      </c>
      <c r="J260">
        <v>1241328.3389999999</v>
      </c>
    </row>
    <row r="261" spans="1:10" x14ac:dyDescent="0.25">
      <c r="A261">
        <v>12</v>
      </c>
      <c r="B261" t="s">
        <v>66</v>
      </c>
      <c r="C261">
        <v>59634</v>
      </c>
      <c r="D261">
        <v>85.38</v>
      </c>
      <c r="E261">
        <v>1042422</v>
      </c>
      <c r="F261">
        <v>72377</v>
      </c>
      <c r="G261">
        <v>294273675</v>
      </c>
      <c r="H261" t="s">
        <v>81</v>
      </c>
      <c r="I261" t="s">
        <v>105</v>
      </c>
      <c r="J261">
        <v>294273.67499999999</v>
      </c>
    </row>
    <row r="262" spans="1:10" x14ac:dyDescent="0.25">
      <c r="A262">
        <v>53</v>
      </c>
      <c r="B262" t="s">
        <v>67</v>
      </c>
      <c r="C262">
        <v>-194703</v>
      </c>
      <c r="D262">
        <v>79.296666666666667</v>
      </c>
      <c r="E262">
        <v>967315</v>
      </c>
      <c r="F262">
        <v>-211468.04</v>
      </c>
      <c r="G262">
        <v>368584859</v>
      </c>
      <c r="H262" t="s">
        <v>81</v>
      </c>
      <c r="I262" t="s">
        <v>105</v>
      </c>
      <c r="J262">
        <v>368584.859</v>
      </c>
    </row>
    <row r="263" spans="1:10" x14ac:dyDescent="0.25">
      <c r="A263">
        <v>12</v>
      </c>
      <c r="B263" t="s">
        <v>65</v>
      </c>
      <c r="C263">
        <v>23549</v>
      </c>
      <c r="D263">
        <v>83.076666666666668</v>
      </c>
      <c r="E263">
        <v>1146981</v>
      </c>
      <c r="F263">
        <v>83936.209999999992</v>
      </c>
      <c r="G263">
        <v>417506614</v>
      </c>
      <c r="H263" t="s">
        <v>81</v>
      </c>
      <c r="I263" t="s">
        <v>105</v>
      </c>
      <c r="J263">
        <v>417506.614</v>
      </c>
    </row>
    <row r="264" spans="1:10" x14ac:dyDescent="0.25">
      <c r="A264">
        <v>12</v>
      </c>
      <c r="B264" t="s">
        <v>62</v>
      </c>
      <c r="C264">
        <v>475404</v>
      </c>
      <c r="D264">
        <v>84.373333333333335</v>
      </c>
      <c r="E264">
        <v>8453169</v>
      </c>
      <c r="F264">
        <v>819171</v>
      </c>
      <c r="G264">
        <v>2121631381</v>
      </c>
      <c r="H264" t="s">
        <v>81</v>
      </c>
      <c r="I264" t="s">
        <v>105</v>
      </c>
      <c r="J264">
        <v>2121631.3810000001</v>
      </c>
    </row>
    <row r="265" spans="1:10" x14ac:dyDescent="0.25">
      <c r="A265">
        <v>12</v>
      </c>
      <c r="B265" t="s">
        <v>68</v>
      </c>
      <c r="C265">
        <v>-12628</v>
      </c>
      <c r="D265">
        <v>88.429999999999993</v>
      </c>
      <c r="E265">
        <v>338502</v>
      </c>
      <c r="F265">
        <v>-20835.920000000002</v>
      </c>
      <c r="G265">
        <v>124192459</v>
      </c>
      <c r="H265" t="s">
        <v>81</v>
      </c>
      <c r="I265" t="s">
        <v>105</v>
      </c>
      <c r="J265">
        <v>124192.459</v>
      </c>
    </row>
    <row r="266" spans="1:10" x14ac:dyDescent="0.25">
      <c r="A266">
        <v>12</v>
      </c>
      <c r="B266" t="s">
        <v>61</v>
      </c>
      <c r="C266">
        <v>15631</v>
      </c>
      <c r="D266">
        <v>89.74666666666667</v>
      </c>
      <c r="E266">
        <v>186346</v>
      </c>
      <c r="F266">
        <v>15671.78</v>
      </c>
      <c r="G266">
        <v>86715390</v>
      </c>
      <c r="H266" t="s">
        <v>81</v>
      </c>
      <c r="I266" t="s">
        <v>105</v>
      </c>
      <c r="J266">
        <v>86715.39</v>
      </c>
    </row>
    <row r="267" spans="1:10" x14ac:dyDescent="0.25">
      <c r="A267">
        <v>12</v>
      </c>
      <c r="B267" t="s">
        <v>60</v>
      </c>
      <c r="C267">
        <v>24168</v>
      </c>
      <c r="D267">
        <v>86.376666666666665</v>
      </c>
      <c r="E267">
        <v>434013</v>
      </c>
      <c r="F267">
        <v>35705.93</v>
      </c>
      <c r="G267">
        <v>128504434</v>
      </c>
      <c r="H267" t="s">
        <v>81</v>
      </c>
      <c r="I267" t="s">
        <v>105</v>
      </c>
      <c r="J267">
        <v>128504.43399999999</v>
      </c>
    </row>
    <row r="268" spans="1:10" x14ac:dyDescent="0.25">
      <c r="A268">
        <v>12</v>
      </c>
      <c r="B268" t="s">
        <v>67</v>
      </c>
      <c r="C268">
        <v>23991</v>
      </c>
      <c r="D268">
        <v>85.88000000000001</v>
      </c>
      <c r="E268">
        <v>273920</v>
      </c>
      <c r="F268">
        <v>38023.81</v>
      </c>
      <c r="G268">
        <v>94949228</v>
      </c>
      <c r="H268" t="s">
        <v>81</v>
      </c>
      <c r="I268" t="s">
        <v>105</v>
      </c>
      <c r="J268">
        <v>94949.228000000003</v>
      </c>
    </row>
    <row r="269" spans="1:10" x14ac:dyDescent="0.25">
      <c r="A269">
        <v>17</v>
      </c>
      <c r="B269" t="s">
        <v>63</v>
      </c>
      <c r="C269">
        <v>-361526</v>
      </c>
      <c r="D269">
        <v>84.186666666666667</v>
      </c>
      <c r="E269">
        <v>8723110</v>
      </c>
      <c r="F269">
        <v>-259884</v>
      </c>
      <c r="G269">
        <v>2381722866</v>
      </c>
      <c r="H269" t="s">
        <v>81</v>
      </c>
      <c r="I269" t="s">
        <v>105</v>
      </c>
      <c r="J269">
        <v>2381722.8659999999</v>
      </c>
    </row>
    <row r="270" spans="1:10" x14ac:dyDescent="0.25">
      <c r="A270">
        <v>12</v>
      </c>
      <c r="B270" t="s">
        <v>64</v>
      </c>
      <c r="C270">
        <v>150912</v>
      </c>
      <c r="D270">
        <v>81.03</v>
      </c>
      <c r="E270">
        <v>3403195</v>
      </c>
      <c r="F270">
        <v>135986</v>
      </c>
      <c r="G270">
        <v>1176306740</v>
      </c>
      <c r="H270" t="s">
        <v>81</v>
      </c>
      <c r="I270" t="s">
        <v>105</v>
      </c>
      <c r="J270">
        <v>1176306.74</v>
      </c>
    </row>
    <row r="271" spans="1:10" x14ac:dyDescent="0.25">
      <c r="A271">
        <v>14</v>
      </c>
      <c r="B271" t="s">
        <v>60</v>
      </c>
      <c r="C271">
        <v>7108</v>
      </c>
      <c r="D271">
        <v>87.65</v>
      </c>
      <c r="E271">
        <v>484618</v>
      </c>
      <c r="F271">
        <v>30501.370000000003</v>
      </c>
      <c r="G271">
        <v>146002457</v>
      </c>
      <c r="H271" t="s">
        <v>81</v>
      </c>
      <c r="I271" t="s">
        <v>105</v>
      </c>
      <c r="J271">
        <v>146002.45699999999</v>
      </c>
    </row>
    <row r="272" spans="1:10" x14ac:dyDescent="0.25">
      <c r="A272">
        <v>15</v>
      </c>
      <c r="B272" t="s">
        <v>60</v>
      </c>
      <c r="C272">
        <v>49054</v>
      </c>
      <c r="D272">
        <v>85.88666666666667</v>
      </c>
      <c r="E272">
        <v>549365</v>
      </c>
      <c r="F272">
        <v>76430.92</v>
      </c>
      <c r="G272">
        <v>160785698</v>
      </c>
      <c r="H272" t="s">
        <v>81</v>
      </c>
      <c r="I272" t="s">
        <v>105</v>
      </c>
      <c r="J272">
        <v>160785.698</v>
      </c>
    </row>
    <row r="273" spans="1:10" x14ac:dyDescent="0.25">
      <c r="A273">
        <v>16</v>
      </c>
      <c r="B273" t="s">
        <v>60</v>
      </c>
      <c r="C273">
        <v>-441</v>
      </c>
      <c r="D273">
        <v>86.59</v>
      </c>
      <c r="E273">
        <v>493032</v>
      </c>
      <c r="F273">
        <v>11579</v>
      </c>
      <c r="G273">
        <v>170550076</v>
      </c>
      <c r="H273" t="s">
        <v>81</v>
      </c>
      <c r="I273" t="s">
        <v>105</v>
      </c>
      <c r="J273">
        <v>170550.076</v>
      </c>
    </row>
    <row r="274" spans="1:10" x14ac:dyDescent="0.25">
      <c r="A274">
        <v>17</v>
      </c>
      <c r="B274" t="s">
        <v>60</v>
      </c>
      <c r="C274">
        <v>-14349</v>
      </c>
      <c r="D274">
        <v>86.883333333333326</v>
      </c>
      <c r="E274">
        <v>490248</v>
      </c>
      <c r="F274">
        <v>-12382.46</v>
      </c>
      <c r="G274">
        <v>169833770</v>
      </c>
      <c r="H274" t="s">
        <v>81</v>
      </c>
      <c r="I274" t="s">
        <v>105</v>
      </c>
      <c r="J274">
        <v>169833.77</v>
      </c>
    </row>
    <row r="275" spans="1:10" x14ac:dyDescent="0.25">
      <c r="A275">
        <v>18</v>
      </c>
      <c r="B275" t="s">
        <v>60</v>
      </c>
      <c r="C275">
        <v>14531</v>
      </c>
      <c r="D275">
        <v>88.803333333333327</v>
      </c>
      <c r="E275">
        <v>533994</v>
      </c>
      <c r="F275">
        <v>39584.990000000005</v>
      </c>
      <c r="G275">
        <v>164522215</v>
      </c>
      <c r="H275" t="s">
        <v>81</v>
      </c>
      <c r="I275" t="s">
        <v>105</v>
      </c>
      <c r="J275">
        <v>164522.215</v>
      </c>
    </row>
    <row r="276" spans="1:10" x14ac:dyDescent="0.25">
      <c r="A276">
        <v>14</v>
      </c>
      <c r="B276" t="s">
        <v>62</v>
      </c>
      <c r="C276">
        <v>-150721</v>
      </c>
      <c r="D276">
        <v>87.733333333333334</v>
      </c>
      <c r="E276">
        <v>9793003</v>
      </c>
      <c r="F276">
        <v>337484</v>
      </c>
      <c r="G276">
        <v>2690286399</v>
      </c>
      <c r="H276" t="s">
        <v>81</v>
      </c>
      <c r="I276" t="s">
        <v>105</v>
      </c>
      <c r="J276">
        <v>2690286.3990000002</v>
      </c>
    </row>
    <row r="277" spans="1:10" x14ac:dyDescent="0.25">
      <c r="A277">
        <v>20</v>
      </c>
      <c r="B277" t="s">
        <v>60</v>
      </c>
      <c r="C277">
        <v>19398</v>
      </c>
      <c r="D277">
        <v>85.173333333333332</v>
      </c>
      <c r="E277">
        <v>531951</v>
      </c>
      <c r="F277">
        <v>34335.110000000008</v>
      </c>
      <c r="G277">
        <v>169789163</v>
      </c>
      <c r="H277" t="s">
        <v>81</v>
      </c>
      <c r="I277" t="s">
        <v>105</v>
      </c>
      <c r="J277">
        <v>169789.163</v>
      </c>
    </row>
    <row r="278" spans="1:10" x14ac:dyDescent="0.25">
      <c r="A278">
        <v>14</v>
      </c>
      <c r="B278" t="s">
        <v>66</v>
      </c>
      <c r="C278">
        <v>66035</v>
      </c>
      <c r="D278">
        <v>87.313333333333333</v>
      </c>
      <c r="E278">
        <v>1211528</v>
      </c>
      <c r="F278">
        <v>191012</v>
      </c>
      <c r="G278">
        <v>323310388</v>
      </c>
      <c r="H278" t="s">
        <v>81</v>
      </c>
      <c r="I278" t="s">
        <v>105</v>
      </c>
      <c r="J278">
        <v>323310.38799999998</v>
      </c>
    </row>
    <row r="279" spans="1:10" x14ac:dyDescent="0.25">
      <c r="A279">
        <v>14</v>
      </c>
      <c r="B279" t="s">
        <v>65</v>
      </c>
      <c r="C279">
        <v>52521</v>
      </c>
      <c r="D279">
        <v>85.62</v>
      </c>
      <c r="E279">
        <v>1277328</v>
      </c>
      <c r="F279">
        <v>119946.86</v>
      </c>
      <c r="G279">
        <v>450311437</v>
      </c>
      <c r="H279" t="s">
        <v>81</v>
      </c>
      <c r="I279" t="s">
        <v>105</v>
      </c>
      <c r="J279">
        <v>450311.43699999998</v>
      </c>
    </row>
    <row r="280" spans="1:10" x14ac:dyDescent="0.25">
      <c r="A280">
        <v>15</v>
      </c>
      <c r="B280" t="s">
        <v>63</v>
      </c>
      <c r="C280">
        <v>-25106</v>
      </c>
      <c r="D280">
        <v>86.393333333333331</v>
      </c>
      <c r="E280">
        <v>9912178</v>
      </c>
      <c r="F280">
        <v>194794.37000000002</v>
      </c>
      <c r="G280">
        <v>2640722924</v>
      </c>
      <c r="H280" t="s">
        <v>81</v>
      </c>
      <c r="I280" t="s">
        <v>105</v>
      </c>
      <c r="J280">
        <v>2640722.9240000001</v>
      </c>
    </row>
    <row r="281" spans="1:10" x14ac:dyDescent="0.25">
      <c r="A281">
        <v>14</v>
      </c>
      <c r="B281" t="s">
        <v>68</v>
      </c>
      <c r="C281">
        <v>8542</v>
      </c>
      <c r="D281">
        <v>90.766666666666666</v>
      </c>
      <c r="E281">
        <v>370715</v>
      </c>
      <c r="F281">
        <v>15471.2</v>
      </c>
      <c r="G281">
        <v>129728322</v>
      </c>
      <c r="H281" t="s">
        <v>81</v>
      </c>
      <c r="I281" t="s">
        <v>105</v>
      </c>
      <c r="J281">
        <v>129728.322</v>
      </c>
    </row>
    <row r="282" spans="1:10" x14ac:dyDescent="0.25">
      <c r="A282">
        <v>23</v>
      </c>
      <c r="B282" t="s">
        <v>60</v>
      </c>
      <c r="C282">
        <v>38004</v>
      </c>
      <c r="D282">
        <v>85.403333333333336</v>
      </c>
      <c r="E282">
        <v>638414</v>
      </c>
      <c r="F282">
        <v>105676.99</v>
      </c>
      <c r="G282">
        <v>175907058</v>
      </c>
      <c r="H282" t="s">
        <v>81</v>
      </c>
      <c r="I282" t="s">
        <v>105</v>
      </c>
      <c r="J282">
        <v>175907.05799999999</v>
      </c>
    </row>
    <row r="283" spans="1:10" x14ac:dyDescent="0.25">
      <c r="A283">
        <v>14</v>
      </c>
      <c r="B283" t="s">
        <v>61</v>
      </c>
      <c r="C283">
        <v>33841</v>
      </c>
      <c r="D283">
        <v>90.106666666666669</v>
      </c>
      <c r="E283">
        <v>220333</v>
      </c>
      <c r="F283">
        <v>34246.300000000003</v>
      </c>
      <c r="G283">
        <v>100082601</v>
      </c>
      <c r="H283" t="s">
        <v>81</v>
      </c>
      <c r="I283" t="s">
        <v>105</v>
      </c>
      <c r="J283">
        <v>100082.601</v>
      </c>
    </row>
    <row r="284" spans="1:10" x14ac:dyDescent="0.25">
      <c r="A284">
        <v>53</v>
      </c>
      <c r="B284" t="s">
        <v>64</v>
      </c>
      <c r="C284">
        <v>-277849</v>
      </c>
      <c r="D284">
        <v>76.7</v>
      </c>
      <c r="E284">
        <v>4693765</v>
      </c>
      <c r="F284">
        <v>-150924</v>
      </c>
      <c r="G284">
        <v>953335734</v>
      </c>
      <c r="H284" t="s">
        <v>81</v>
      </c>
      <c r="I284" t="s">
        <v>105</v>
      </c>
      <c r="J284">
        <v>953335.73400000005</v>
      </c>
    </row>
    <row r="285" spans="1:10" x14ac:dyDescent="0.25">
      <c r="A285">
        <v>14</v>
      </c>
      <c r="B285" t="s">
        <v>67</v>
      </c>
      <c r="C285">
        <v>29782</v>
      </c>
      <c r="D285">
        <v>85.73</v>
      </c>
      <c r="E285">
        <v>346308</v>
      </c>
      <c r="F285">
        <v>55132.4</v>
      </c>
      <c r="G285">
        <v>120233446</v>
      </c>
      <c r="H285" t="s">
        <v>81</v>
      </c>
      <c r="I285" t="s">
        <v>105</v>
      </c>
      <c r="J285">
        <v>120233.446</v>
      </c>
    </row>
    <row r="286" spans="1:10" x14ac:dyDescent="0.25">
      <c r="A286">
        <v>14</v>
      </c>
      <c r="B286" t="s">
        <v>63</v>
      </c>
      <c r="C286">
        <v>369559</v>
      </c>
      <c r="D286">
        <v>86.653333333333336</v>
      </c>
      <c r="E286">
        <v>9940572</v>
      </c>
      <c r="F286">
        <v>576095.94999999995</v>
      </c>
      <c r="G286">
        <v>2659303353</v>
      </c>
      <c r="H286" t="s">
        <v>81</v>
      </c>
      <c r="I286" t="s">
        <v>105</v>
      </c>
      <c r="J286">
        <v>2659303.3530000001</v>
      </c>
    </row>
    <row r="287" spans="1:10" x14ac:dyDescent="0.25">
      <c r="A287">
        <v>14</v>
      </c>
      <c r="B287" t="s">
        <v>64</v>
      </c>
      <c r="C287">
        <v>228340</v>
      </c>
      <c r="D287">
        <v>81.650000000000006</v>
      </c>
      <c r="E287">
        <v>4615890</v>
      </c>
      <c r="F287">
        <v>459664</v>
      </c>
      <c r="G287">
        <v>1519353713</v>
      </c>
      <c r="H287" t="s">
        <v>81</v>
      </c>
      <c r="I287" t="s">
        <v>105</v>
      </c>
      <c r="J287">
        <v>1519353.713</v>
      </c>
    </row>
    <row r="288" spans="1:10" x14ac:dyDescent="0.25">
      <c r="A288">
        <v>15</v>
      </c>
      <c r="B288" t="s">
        <v>66</v>
      </c>
      <c r="C288">
        <v>160670</v>
      </c>
      <c r="D288">
        <v>87.21</v>
      </c>
      <c r="E288">
        <v>1270296</v>
      </c>
      <c r="F288">
        <v>237058</v>
      </c>
      <c r="G288">
        <v>329581189</v>
      </c>
      <c r="H288" t="s">
        <v>81</v>
      </c>
      <c r="I288" t="s">
        <v>105</v>
      </c>
      <c r="J288">
        <v>329581.18900000001</v>
      </c>
    </row>
    <row r="289" spans="1:10" x14ac:dyDescent="0.25">
      <c r="A289">
        <v>15</v>
      </c>
      <c r="B289" t="s">
        <v>65</v>
      </c>
      <c r="C289">
        <v>44288</v>
      </c>
      <c r="D289">
        <v>84.683333333333337</v>
      </c>
      <c r="E289">
        <v>1307179</v>
      </c>
      <c r="F289">
        <v>112968.46</v>
      </c>
      <c r="G289">
        <v>480689710</v>
      </c>
      <c r="H289" t="s">
        <v>81</v>
      </c>
      <c r="I289" t="s">
        <v>105</v>
      </c>
      <c r="J289">
        <v>480689.71</v>
      </c>
    </row>
    <row r="290" spans="1:10" x14ac:dyDescent="0.25">
      <c r="A290">
        <v>15</v>
      </c>
      <c r="B290" t="s">
        <v>62</v>
      </c>
      <c r="C290">
        <v>1169931</v>
      </c>
      <c r="D290">
        <v>86.786666666666662</v>
      </c>
      <c r="E290">
        <v>9979901</v>
      </c>
      <c r="F290">
        <v>1461050</v>
      </c>
      <c r="G290">
        <v>2622380178</v>
      </c>
      <c r="H290" t="s">
        <v>81</v>
      </c>
      <c r="I290" t="s">
        <v>105</v>
      </c>
      <c r="J290">
        <v>2622380.1779999998</v>
      </c>
    </row>
    <row r="291" spans="1:10" x14ac:dyDescent="0.25">
      <c r="A291">
        <v>15</v>
      </c>
      <c r="B291" t="s">
        <v>68</v>
      </c>
      <c r="C291">
        <v>18319</v>
      </c>
      <c r="D291">
        <v>92.27</v>
      </c>
      <c r="E291">
        <v>375779</v>
      </c>
      <c r="F291">
        <v>31123.78</v>
      </c>
      <c r="G291">
        <v>133223808</v>
      </c>
      <c r="H291" t="s">
        <v>81</v>
      </c>
      <c r="I291" t="s">
        <v>105</v>
      </c>
      <c r="J291">
        <v>133223.80799999999</v>
      </c>
    </row>
    <row r="292" spans="1:10" x14ac:dyDescent="0.25">
      <c r="A292">
        <v>53</v>
      </c>
      <c r="B292" t="s">
        <v>60</v>
      </c>
      <c r="C292">
        <v>-120940</v>
      </c>
      <c r="D292">
        <v>73.983333333333334</v>
      </c>
      <c r="E292">
        <v>476541</v>
      </c>
      <c r="F292">
        <v>-145747.16</v>
      </c>
      <c r="G292">
        <v>144039520</v>
      </c>
      <c r="H292" t="s">
        <v>81</v>
      </c>
      <c r="I292" t="s">
        <v>105</v>
      </c>
      <c r="J292">
        <v>144039.51999999999</v>
      </c>
    </row>
    <row r="293" spans="1:10" x14ac:dyDescent="0.25">
      <c r="A293">
        <v>15</v>
      </c>
      <c r="B293" t="s">
        <v>61</v>
      </c>
      <c r="C293">
        <v>22119</v>
      </c>
      <c r="D293">
        <v>89.55</v>
      </c>
      <c r="E293">
        <v>207146</v>
      </c>
      <c r="F293">
        <v>22427.45</v>
      </c>
      <c r="G293">
        <v>96113358</v>
      </c>
      <c r="H293" t="s">
        <v>81</v>
      </c>
      <c r="I293" t="s">
        <v>105</v>
      </c>
      <c r="J293">
        <v>96113.357999999993</v>
      </c>
    </row>
    <row r="294" spans="1:10" x14ac:dyDescent="0.25">
      <c r="A294">
        <v>15</v>
      </c>
      <c r="B294" t="s">
        <v>67</v>
      </c>
      <c r="C294">
        <v>26359</v>
      </c>
      <c r="D294">
        <v>86.733333333333334</v>
      </c>
      <c r="E294">
        <v>342317</v>
      </c>
      <c r="F294">
        <v>49680.729999999996</v>
      </c>
      <c r="G294">
        <v>121987358</v>
      </c>
      <c r="H294" t="s">
        <v>81</v>
      </c>
      <c r="I294" t="s">
        <v>105</v>
      </c>
      <c r="J294">
        <v>121987.35799999999</v>
      </c>
    </row>
    <row r="295" spans="1:10" x14ac:dyDescent="0.25">
      <c r="A295">
        <v>15</v>
      </c>
      <c r="B295" t="s">
        <v>64</v>
      </c>
      <c r="C295">
        <v>16064</v>
      </c>
      <c r="D295">
        <v>81.916666666666671</v>
      </c>
      <c r="E295">
        <v>4308455</v>
      </c>
      <c r="F295">
        <v>50733</v>
      </c>
      <c r="G295">
        <v>1474806598</v>
      </c>
      <c r="H295" t="s">
        <v>81</v>
      </c>
      <c r="I295" t="s">
        <v>105</v>
      </c>
      <c r="J295">
        <v>1474806.598</v>
      </c>
    </row>
    <row r="296" spans="1:10" x14ac:dyDescent="0.25">
      <c r="A296">
        <v>16</v>
      </c>
      <c r="B296" t="s">
        <v>66</v>
      </c>
      <c r="C296">
        <v>38126</v>
      </c>
      <c r="D296">
        <v>85.86333333333333</v>
      </c>
      <c r="E296">
        <v>1130818</v>
      </c>
      <c r="F296">
        <v>88363</v>
      </c>
      <c r="G296">
        <v>323336303</v>
      </c>
      <c r="H296" t="s">
        <v>81</v>
      </c>
      <c r="I296" t="s">
        <v>105</v>
      </c>
      <c r="J296">
        <v>323336.30300000001</v>
      </c>
    </row>
    <row r="297" spans="1:10" x14ac:dyDescent="0.25">
      <c r="A297">
        <v>16</v>
      </c>
      <c r="B297" t="s">
        <v>65</v>
      </c>
      <c r="C297">
        <v>803</v>
      </c>
      <c r="D297">
        <v>83.14</v>
      </c>
      <c r="E297">
        <v>1194037</v>
      </c>
      <c r="F297">
        <v>45430.320000000007</v>
      </c>
      <c r="G297">
        <v>442274374</v>
      </c>
      <c r="H297" t="s">
        <v>81</v>
      </c>
      <c r="I297" t="s">
        <v>105</v>
      </c>
      <c r="J297">
        <v>442274.37400000001</v>
      </c>
    </row>
    <row r="298" spans="1:10" x14ac:dyDescent="0.25">
      <c r="A298">
        <v>16</v>
      </c>
      <c r="B298" t="s">
        <v>62</v>
      </c>
      <c r="C298">
        <v>-20422</v>
      </c>
      <c r="D298">
        <v>84.54</v>
      </c>
      <c r="E298">
        <v>8650777</v>
      </c>
      <c r="F298">
        <v>468302</v>
      </c>
      <c r="G298">
        <v>2386443862</v>
      </c>
      <c r="H298" t="s">
        <v>81</v>
      </c>
      <c r="I298" t="s">
        <v>105</v>
      </c>
      <c r="J298">
        <v>2386443.8620000002</v>
      </c>
    </row>
    <row r="299" spans="1:10" x14ac:dyDescent="0.25">
      <c r="A299">
        <v>16</v>
      </c>
      <c r="B299" t="s">
        <v>68</v>
      </c>
      <c r="C299">
        <v>-8665</v>
      </c>
      <c r="D299">
        <v>89.873333333333335</v>
      </c>
      <c r="E299">
        <v>344640</v>
      </c>
      <c r="F299">
        <v>2837.21</v>
      </c>
      <c r="G299">
        <v>114522250</v>
      </c>
      <c r="H299" t="s">
        <v>81</v>
      </c>
      <c r="I299" t="s">
        <v>105</v>
      </c>
      <c r="J299">
        <v>114522.25</v>
      </c>
    </row>
    <row r="300" spans="1:10" x14ac:dyDescent="0.25">
      <c r="A300">
        <v>16</v>
      </c>
      <c r="B300" t="s">
        <v>61</v>
      </c>
      <c r="C300">
        <v>20451</v>
      </c>
      <c r="D300">
        <v>86.623333333333335</v>
      </c>
      <c r="E300">
        <v>214198</v>
      </c>
      <c r="F300">
        <v>20701.13</v>
      </c>
      <c r="G300">
        <v>96854910</v>
      </c>
      <c r="H300" t="s">
        <v>81</v>
      </c>
      <c r="I300" t="s">
        <v>105</v>
      </c>
      <c r="J300">
        <v>96854.91</v>
      </c>
    </row>
    <row r="301" spans="1:10" x14ac:dyDescent="0.25">
      <c r="A301">
        <v>16</v>
      </c>
      <c r="B301" t="s">
        <v>67</v>
      </c>
      <c r="C301">
        <v>19566</v>
      </c>
      <c r="D301">
        <v>85.8</v>
      </c>
      <c r="E301">
        <v>328268</v>
      </c>
      <c r="F301">
        <v>31932.510000000002</v>
      </c>
      <c r="G301">
        <v>120788404</v>
      </c>
      <c r="H301" t="s">
        <v>81</v>
      </c>
      <c r="I301" t="s">
        <v>105</v>
      </c>
      <c r="J301">
        <v>120788.40399999999</v>
      </c>
    </row>
    <row r="302" spans="1:10" x14ac:dyDescent="0.25">
      <c r="A302">
        <v>16</v>
      </c>
      <c r="B302" t="s">
        <v>64</v>
      </c>
      <c r="C302">
        <v>78305</v>
      </c>
      <c r="D302">
        <v>79.649999999999991</v>
      </c>
      <c r="E302">
        <v>4172732</v>
      </c>
      <c r="F302">
        <v>91357</v>
      </c>
      <c r="G302">
        <v>1451850390</v>
      </c>
      <c r="H302" t="s">
        <v>81</v>
      </c>
      <c r="I302" t="s">
        <v>105</v>
      </c>
      <c r="J302">
        <v>1451850.39</v>
      </c>
    </row>
    <row r="303" spans="1:10" x14ac:dyDescent="0.25">
      <c r="A303">
        <v>17</v>
      </c>
      <c r="B303" t="s">
        <v>66</v>
      </c>
      <c r="C303">
        <v>33894</v>
      </c>
      <c r="D303">
        <v>85.286666666666662</v>
      </c>
      <c r="E303">
        <v>1131639</v>
      </c>
      <c r="F303">
        <v>82473</v>
      </c>
      <c r="G303">
        <v>329294599</v>
      </c>
      <c r="H303" t="s">
        <v>81</v>
      </c>
      <c r="I303" t="s">
        <v>105</v>
      </c>
      <c r="J303">
        <v>329294.59899999999</v>
      </c>
    </row>
    <row r="304" spans="1:10" x14ac:dyDescent="0.25">
      <c r="A304">
        <v>53</v>
      </c>
      <c r="B304" t="s">
        <v>68</v>
      </c>
      <c r="C304">
        <v>-114881</v>
      </c>
      <c r="D304">
        <v>76</v>
      </c>
      <c r="E304">
        <v>605147</v>
      </c>
      <c r="F304">
        <v>-144711.96</v>
      </c>
      <c r="G304">
        <v>196495928</v>
      </c>
      <c r="H304" t="s">
        <v>81</v>
      </c>
      <c r="I304" t="s">
        <v>105</v>
      </c>
      <c r="J304">
        <v>196495.92800000001</v>
      </c>
    </row>
    <row r="305" spans="1:10" x14ac:dyDescent="0.25">
      <c r="A305">
        <v>17</v>
      </c>
      <c r="B305" t="s">
        <v>65</v>
      </c>
      <c r="C305">
        <v>13840</v>
      </c>
      <c r="D305">
        <v>84.39</v>
      </c>
      <c r="E305">
        <v>1298942</v>
      </c>
      <c r="F305">
        <v>58837.98</v>
      </c>
      <c r="G305">
        <v>467398387</v>
      </c>
      <c r="H305" t="s">
        <v>81</v>
      </c>
      <c r="I305" t="s">
        <v>105</v>
      </c>
      <c r="J305">
        <v>467398.38699999999</v>
      </c>
    </row>
    <row r="306" spans="1:10" x14ac:dyDescent="0.25">
      <c r="A306">
        <v>17</v>
      </c>
      <c r="B306" t="s">
        <v>62</v>
      </c>
      <c r="C306">
        <v>6760</v>
      </c>
      <c r="D306">
        <v>83.36</v>
      </c>
      <c r="E306">
        <v>8509156</v>
      </c>
      <c r="F306">
        <v>322621</v>
      </c>
      <c r="G306">
        <v>2313115232</v>
      </c>
      <c r="H306" t="s">
        <v>81</v>
      </c>
      <c r="I306" t="s">
        <v>105</v>
      </c>
      <c r="J306">
        <v>2313115.2319999998</v>
      </c>
    </row>
    <row r="307" spans="1:10" x14ac:dyDescent="0.25">
      <c r="A307">
        <v>17</v>
      </c>
      <c r="B307" t="s">
        <v>68</v>
      </c>
      <c r="C307">
        <v>-17345</v>
      </c>
      <c r="D307">
        <v>88.573333333333338</v>
      </c>
      <c r="E307">
        <v>310866</v>
      </c>
      <c r="F307">
        <v>-26975.19</v>
      </c>
      <c r="G307">
        <v>109561421</v>
      </c>
      <c r="H307" t="s">
        <v>81</v>
      </c>
      <c r="I307" t="s">
        <v>105</v>
      </c>
      <c r="J307">
        <v>109561.421</v>
      </c>
    </row>
    <row r="308" spans="1:10" x14ac:dyDescent="0.25">
      <c r="A308">
        <v>17</v>
      </c>
      <c r="B308" t="s">
        <v>61</v>
      </c>
      <c r="C308">
        <v>44446</v>
      </c>
      <c r="D308">
        <v>89.513333333333335</v>
      </c>
      <c r="E308">
        <v>261539</v>
      </c>
      <c r="F308">
        <v>44674.559999999998</v>
      </c>
      <c r="G308">
        <v>109905272</v>
      </c>
      <c r="H308" t="s">
        <v>81</v>
      </c>
      <c r="I308" t="s">
        <v>105</v>
      </c>
      <c r="J308">
        <v>109905.272</v>
      </c>
    </row>
    <row r="309" spans="1:10" x14ac:dyDescent="0.25">
      <c r="A309">
        <v>17</v>
      </c>
      <c r="B309" t="s">
        <v>67</v>
      </c>
      <c r="C309">
        <v>26796</v>
      </c>
      <c r="D309">
        <v>85.54</v>
      </c>
      <c r="E309">
        <v>370437</v>
      </c>
      <c r="F309">
        <v>49668.959999999999</v>
      </c>
      <c r="G309">
        <v>131665210</v>
      </c>
      <c r="H309" t="s">
        <v>81</v>
      </c>
      <c r="I309" t="s">
        <v>105</v>
      </c>
      <c r="J309">
        <v>131665.21</v>
      </c>
    </row>
    <row r="310" spans="1:10" x14ac:dyDescent="0.25">
      <c r="A310">
        <v>17</v>
      </c>
      <c r="B310" t="s">
        <v>64</v>
      </c>
      <c r="C310">
        <v>58528</v>
      </c>
      <c r="D310">
        <v>76.97</v>
      </c>
      <c r="E310">
        <v>4084086</v>
      </c>
      <c r="F310">
        <v>70187</v>
      </c>
      <c r="G310">
        <v>1405425187</v>
      </c>
      <c r="H310" t="s">
        <v>81</v>
      </c>
      <c r="I310" t="s">
        <v>105</v>
      </c>
      <c r="J310">
        <v>1405425.1869999999</v>
      </c>
    </row>
    <row r="311" spans="1:10" x14ac:dyDescent="0.25">
      <c r="A311">
        <v>18</v>
      </c>
      <c r="B311" t="s">
        <v>66</v>
      </c>
      <c r="C311">
        <v>102209</v>
      </c>
      <c r="D311">
        <v>86.67</v>
      </c>
      <c r="E311">
        <v>1255011</v>
      </c>
      <c r="F311">
        <v>189469</v>
      </c>
      <c r="G311">
        <v>319996680</v>
      </c>
      <c r="H311" t="s">
        <v>81</v>
      </c>
      <c r="I311" t="s">
        <v>105</v>
      </c>
      <c r="J311">
        <v>319996.68</v>
      </c>
    </row>
    <row r="312" spans="1:10" x14ac:dyDescent="0.25">
      <c r="A312">
        <v>18</v>
      </c>
      <c r="B312" t="s">
        <v>65</v>
      </c>
      <c r="C312">
        <v>36352</v>
      </c>
      <c r="D312">
        <v>85.073333333333338</v>
      </c>
      <c r="E312">
        <v>1334450</v>
      </c>
      <c r="F312">
        <v>93258.48</v>
      </c>
      <c r="G312">
        <v>464952967</v>
      </c>
      <c r="H312" t="s">
        <v>81</v>
      </c>
      <c r="I312" t="s">
        <v>105</v>
      </c>
      <c r="J312">
        <v>464952.967</v>
      </c>
    </row>
    <row r="313" spans="1:10" x14ac:dyDescent="0.25">
      <c r="A313">
        <v>18</v>
      </c>
      <c r="B313" t="s">
        <v>62</v>
      </c>
      <c r="C313">
        <v>688701</v>
      </c>
      <c r="D313">
        <v>86.226666666666659</v>
      </c>
      <c r="E313">
        <v>9715984</v>
      </c>
      <c r="F313">
        <v>948977</v>
      </c>
      <c r="G313">
        <v>2470906128</v>
      </c>
      <c r="H313" t="s">
        <v>81</v>
      </c>
      <c r="I313" t="s">
        <v>105</v>
      </c>
      <c r="J313">
        <v>2470906.128</v>
      </c>
    </row>
    <row r="314" spans="1:10" x14ac:dyDescent="0.25">
      <c r="A314">
        <v>18</v>
      </c>
      <c r="B314" t="s">
        <v>68</v>
      </c>
      <c r="C314">
        <v>3009</v>
      </c>
      <c r="D314">
        <v>91.39</v>
      </c>
      <c r="E314">
        <v>327672</v>
      </c>
      <c r="F314">
        <v>5692.91</v>
      </c>
      <c r="G314">
        <v>104395705</v>
      </c>
      <c r="H314" t="s">
        <v>81</v>
      </c>
      <c r="I314" t="s">
        <v>105</v>
      </c>
      <c r="J314">
        <v>104395.705</v>
      </c>
    </row>
    <row r="315" spans="1:10" x14ac:dyDescent="0.25">
      <c r="A315">
        <v>18</v>
      </c>
      <c r="B315" t="s">
        <v>61</v>
      </c>
      <c r="C315">
        <v>35109</v>
      </c>
      <c r="D315">
        <v>89.46</v>
      </c>
      <c r="E315">
        <v>245123</v>
      </c>
      <c r="F315">
        <v>35424.6</v>
      </c>
      <c r="G315">
        <v>98465722</v>
      </c>
      <c r="H315" t="s">
        <v>81</v>
      </c>
      <c r="I315" t="s">
        <v>105</v>
      </c>
      <c r="J315">
        <v>98465.721999999994</v>
      </c>
    </row>
    <row r="316" spans="1:10" x14ac:dyDescent="0.25">
      <c r="A316">
        <v>18</v>
      </c>
      <c r="B316" t="s">
        <v>67</v>
      </c>
      <c r="C316">
        <v>41965</v>
      </c>
      <c r="D316">
        <v>86.743333333333339</v>
      </c>
      <c r="E316">
        <v>407339</v>
      </c>
      <c r="F316">
        <v>66757.16</v>
      </c>
      <c r="G316">
        <v>135252334</v>
      </c>
      <c r="H316" t="s">
        <v>81</v>
      </c>
      <c r="I316" t="s">
        <v>105</v>
      </c>
      <c r="J316">
        <v>135252.334</v>
      </c>
    </row>
    <row r="317" spans="1:10" x14ac:dyDescent="0.25">
      <c r="A317">
        <v>18</v>
      </c>
      <c r="B317" t="s">
        <v>63</v>
      </c>
      <c r="C317">
        <v>484017</v>
      </c>
      <c r="D317">
        <v>86.973333333333329</v>
      </c>
      <c r="E317">
        <v>10003024</v>
      </c>
      <c r="F317">
        <v>771078.03</v>
      </c>
      <c r="G317">
        <v>2379903938</v>
      </c>
      <c r="H317" t="s">
        <v>81</v>
      </c>
      <c r="I317" t="s">
        <v>105</v>
      </c>
      <c r="J317">
        <v>2379903.9380000001</v>
      </c>
    </row>
    <row r="318" spans="1:10" x14ac:dyDescent="0.25">
      <c r="A318">
        <v>55</v>
      </c>
      <c r="B318" t="s">
        <v>60</v>
      </c>
      <c r="C318">
        <v>-2661</v>
      </c>
      <c r="D318">
        <v>87.843333333333334</v>
      </c>
      <c r="E318">
        <v>740429</v>
      </c>
      <c r="F318">
        <v>3681.4799999999996</v>
      </c>
      <c r="G318">
        <v>218359689</v>
      </c>
      <c r="H318" t="s">
        <v>81</v>
      </c>
      <c r="I318" t="s">
        <v>105</v>
      </c>
      <c r="J318">
        <v>218359.68900000001</v>
      </c>
    </row>
    <row r="319" spans="1:10" x14ac:dyDescent="0.25">
      <c r="A319">
        <v>18</v>
      </c>
      <c r="B319" t="s">
        <v>64</v>
      </c>
      <c r="C319">
        <v>224025</v>
      </c>
      <c r="D319">
        <v>81.486666666666665</v>
      </c>
      <c r="E319">
        <v>4642505</v>
      </c>
      <c r="F319">
        <v>432731</v>
      </c>
      <c r="G319">
        <v>1413160201</v>
      </c>
      <c r="H319" t="s">
        <v>81</v>
      </c>
      <c r="I319" t="s">
        <v>105</v>
      </c>
      <c r="J319">
        <v>1413160.2009999999</v>
      </c>
    </row>
    <row r="320" spans="1:10" x14ac:dyDescent="0.25">
      <c r="A320">
        <v>56</v>
      </c>
      <c r="B320" t="s">
        <v>60</v>
      </c>
      <c r="C320">
        <v>-49096</v>
      </c>
      <c r="D320">
        <v>85.75333333333333</v>
      </c>
      <c r="E320">
        <v>729398</v>
      </c>
      <c r="F320">
        <v>-18279.23</v>
      </c>
      <c r="G320">
        <v>205303799</v>
      </c>
      <c r="H320" t="s">
        <v>81</v>
      </c>
      <c r="I320" t="s">
        <v>105</v>
      </c>
      <c r="J320">
        <v>205303.799</v>
      </c>
    </row>
    <row r="321" spans="1:10" x14ac:dyDescent="0.25">
      <c r="A321">
        <v>20</v>
      </c>
      <c r="B321" t="s">
        <v>66</v>
      </c>
      <c r="C321">
        <v>75910</v>
      </c>
      <c r="D321">
        <v>84.53</v>
      </c>
      <c r="E321">
        <v>1208848</v>
      </c>
      <c r="F321">
        <v>131315</v>
      </c>
      <c r="G321">
        <v>318578701</v>
      </c>
      <c r="H321" t="s">
        <v>81</v>
      </c>
      <c r="I321" t="s">
        <v>105</v>
      </c>
      <c r="J321">
        <v>318578.701</v>
      </c>
    </row>
    <row r="322" spans="1:10" x14ac:dyDescent="0.25">
      <c r="A322">
        <v>20</v>
      </c>
      <c r="B322" t="s">
        <v>65</v>
      </c>
      <c r="C322">
        <v>47014</v>
      </c>
      <c r="D322">
        <v>81.466666666666669</v>
      </c>
      <c r="E322">
        <v>1365820</v>
      </c>
      <c r="F322">
        <v>110738.97</v>
      </c>
      <c r="G322">
        <v>465829878</v>
      </c>
      <c r="H322" t="s">
        <v>81</v>
      </c>
      <c r="I322" t="s">
        <v>105</v>
      </c>
      <c r="J322">
        <v>465829.87800000003</v>
      </c>
    </row>
    <row r="323" spans="1:10" x14ac:dyDescent="0.25">
      <c r="A323">
        <v>20</v>
      </c>
      <c r="B323" t="s">
        <v>62</v>
      </c>
      <c r="C323">
        <v>8482125</v>
      </c>
      <c r="D323">
        <v>83.393333333333331</v>
      </c>
      <c r="E323">
        <v>9086090</v>
      </c>
      <c r="F323">
        <v>869555</v>
      </c>
      <c r="G323">
        <v>2313937973</v>
      </c>
      <c r="H323" t="s">
        <v>81</v>
      </c>
      <c r="I323" t="s">
        <v>105</v>
      </c>
      <c r="J323">
        <v>2313937.9730000002</v>
      </c>
    </row>
    <row r="324" spans="1:10" x14ac:dyDescent="0.25">
      <c r="A324">
        <v>20</v>
      </c>
      <c r="B324" t="s">
        <v>68</v>
      </c>
      <c r="C324">
        <v>2529</v>
      </c>
      <c r="D324">
        <v>91.88666666666667</v>
      </c>
      <c r="E324">
        <v>337582</v>
      </c>
      <c r="F324">
        <v>4995.1200000000008</v>
      </c>
      <c r="G324">
        <v>106341111</v>
      </c>
      <c r="H324" t="s">
        <v>81</v>
      </c>
      <c r="I324" t="s">
        <v>105</v>
      </c>
      <c r="J324">
        <v>106341.111</v>
      </c>
    </row>
    <row r="325" spans="1:10" x14ac:dyDescent="0.25">
      <c r="A325">
        <v>20</v>
      </c>
      <c r="B325" t="s">
        <v>61</v>
      </c>
      <c r="C325">
        <v>26140</v>
      </c>
      <c r="D325">
        <v>85.473333333333329</v>
      </c>
      <c r="E325">
        <v>231148</v>
      </c>
      <c r="F325">
        <v>26940.89</v>
      </c>
      <c r="G325">
        <v>92304494</v>
      </c>
      <c r="H325" t="s">
        <v>81</v>
      </c>
      <c r="I325" t="s">
        <v>105</v>
      </c>
      <c r="J325">
        <v>92304.494000000006</v>
      </c>
    </row>
    <row r="326" spans="1:10" x14ac:dyDescent="0.25">
      <c r="A326">
        <v>20</v>
      </c>
      <c r="B326" t="s">
        <v>67</v>
      </c>
      <c r="C326">
        <v>43193</v>
      </c>
      <c r="D326">
        <v>86.616666666666674</v>
      </c>
      <c r="E326">
        <v>419984</v>
      </c>
      <c r="F326">
        <v>68060.42</v>
      </c>
      <c r="G326">
        <v>139843111</v>
      </c>
      <c r="H326" t="s">
        <v>81</v>
      </c>
      <c r="I326" t="s">
        <v>105</v>
      </c>
      <c r="J326">
        <v>139843.111</v>
      </c>
    </row>
    <row r="327" spans="1:10" x14ac:dyDescent="0.25">
      <c r="A327">
        <v>20</v>
      </c>
      <c r="B327" t="s">
        <v>63</v>
      </c>
      <c r="C327">
        <v>154178</v>
      </c>
      <c r="D327">
        <v>84.88666666666667</v>
      </c>
      <c r="E327">
        <v>9331106</v>
      </c>
      <c r="F327">
        <v>237517.57</v>
      </c>
      <c r="G327">
        <v>2315544496</v>
      </c>
      <c r="H327" t="s">
        <v>81</v>
      </c>
      <c r="I327" t="s">
        <v>105</v>
      </c>
      <c r="J327">
        <v>2315544.4959999998</v>
      </c>
    </row>
    <row r="328" spans="1:10" x14ac:dyDescent="0.25">
      <c r="A328">
        <v>20</v>
      </c>
      <c r="B328" t="s">
        <v>64</v>
      </c>
      <c r="C328">
        <v>212494</v>
      </c>
      <c r="D328">
        <v>80.39</v>
      </c>
      <c r="E328">
        <v>4428152</v>
      </c>
      <c r="F328">
        <v>385606</v>
      </c>
      <c r="G328">
        <v>1313891559</v>
      </c>
      <c r="H328" t="s">
        <v>81</v>
      </c>
      <c r="I328" t="s">
        <v>105</v>
      </c>
      <c r="J328">
        <v>1313891.5589999999</v>
      </c>
    </row>
    <row r="329" spans="1:10" x14ac:dyDescent="0.25">
      <c r="A329">
        <v>23</v>
      </c>
      <c r="B329" t="s">
        <v>61</v>
      </c>
      <c r="C329">
        <v>22627</v>
      </c>
      <c r="D329">
        <v>90.566666666666663</v>
      </c>
      <c r="E329">
        <v>256670</v>
      </c>
      <c r="F329">
        <v>25486.68</v>
      </c>
      <c r="G329">
        <v>96601069</v>
      </c>
      <c r="H329" t="s">
        <v>81</v>
      </c>
      <c r="I329" t="s">
        <v>105</v>
      </c>
      <c r="J329">
        <v>96601.069000000003</v>
      </c>
    </row>
    <row r="330" spans="1:10" x14ac:dyDescent="0.25">
      <c r="A330">
        <v>23</v>
      </c>
      <c r="B330" t="s">
        <v>66</v>
      </c>
      <c r="C330">
        <v>191987</v>
      </c>
      <c r="D330">
        <v>86.173333333333332</v>
      </c>
      <c r="E330">
        <v>1463350</v>
      </c>
      <c r="F330">
        <v>314280</v>
      </c>
      <c r="G330">
        <v>350361411</v>
      </c>
      <c r="H330" t="s">
        <v>81</v>
      </c>
      <c r="I330" t="s">
        <v>105</v>
      </c>
      <c r="J330">
        <v>350361.41100000002</v>
      </c>
    </row>
    <row r="331" spans="1:10" x14ac:dyDescent="0.25">
      <c r="A331">
        <v>23</v>
      </c>
      <c r="B331" t="s">
        <v>65</v>
      </c>
      <c r="C331">
        <v>78801</v>
      </c>
      <c r="D331">
        <v>86.826666666666668</v>
      </c>
      <c r="E331">
        <v>1528320</v>
      </c>
      <c r="F331">
        <v>163330.23999999999</v>
      </c>
      <c r="G331">
        <v>518041128</v>
      </c>
      <c r="H331" t="s">
        <v>81</v>
      </c>
      <c r="I331" t="s">
        <v>105</v>
      </c>
      <c r="J331">
        <v>518041.12800000003</v>
      </c>
    </row>
    <row r="332" spans="1:10" x14ac:dyDescent="0.25">
      <c r="A332">
        <v>23</v>
      </c>
      <c r="B332" t="s">
        <v>62</v>
      </c>
      <c r="C332">
        <v>361459</v>
      </c>
      <c r="D332">
        <v>87.76</v>
      </c>
      <c r="E332">
        <v>11200109</v>
      </c>
      <c r="F332">
        <v>1409299</v>
      </c>
      <c r="G332">
        <v>2605487775</v>
      </c>
      <c r="H332" t="s">
        <v>81</v>
      </c>
      <c r="I332" t="s">
        <v>105</v>
      </c>
      <c r="J332">
        <v>2605487.7749999999</v>
      </c>
    </row>
    <row r="333" spans="1:10" x14ac:dyDescent="0.25">
      <c r="A333">
        <v>23</v>
      </c>
      <c r="B333" t="s">
        <v>68</v>
      </c>
      <c r="C333">
        <v>58303</v>
      </c>
      <c r="D333">
        <v>91.573333333333338</v>
      </c>
      <c r="E333">
        <v>448374</v>
      </c>
      <c r="F333">
        <v>95653.48</v>
      </c>
      <c r="G333">
        <v>141632438</v>
      </c>
      <c r="H333" t="s">
        <v>81</v>
      </c>
      <c r="I333" t="s">
        <v>105</v>
      </c>
      <c r="J333">
        <v>141632.43799999999</v>
      </c>
    </row>
    <row r="334" spans="1:10" x14ac:dyDescent="0.25">
      <c r="A334">
        <v>23</v>
      </c>
      <c r="B334" t="s">
        <v>67</v>
      </c>
      <c r="C334">
        <v>66994</v>
      </c>
      <c r="D334">
        <v>87.773333333333341</v>
      </c>
      <c r="E334">
        <v>519769</v>
      </c>
      <c r="F334">
        <v>100191.31999999999</v>
      </c>
      <c r="G334">
        <v>171577216</v>
      </c>
      <c r="H334" t="s">
        <v>81</v>
      </c>
      <c r="I334" t="s">
        <v>105</v>
      </c>
      <c r="J334">
        <v>171577.21599999999</v>
      </c>
    </row>
    <row r="335" spans="1:10" x14ac:dyDescent="0.25">
      <c r="A335">
        <v>23</v>
      </c>
      <c r="B335" t="s">
        <v>63</v>
      </c>
      <c r="C335">
        <v>933236</v>
      </c>
      <c r="D335">
        <v>87.09</v>
      </c>
      <c r="E335">
        <v>10563671</v>
      </c>
      <c r="F335">
        <v>1184835.76</v>
      </c>
      <c r="G335">
        <v>2450900891</v>
      </c>
      <c r="H335" t="s">
        <v>81</v>
      </c>
      <c r="I335" t="s">
        <v>105</v>
      </c>
      <c r="J335">
        <v>2450900.8909999998</v>
      </c>
    </row>
    <row r="336" spans="1:10" x14ac:dyDescent="0.25">
      <c r="A336">
        <v>23</v>
      </c>
      <c r="B336" t="s">
        <v>64</v>
      </c>
      <c r="C336">
        <v>328809</v>
      </c>
      <c r="D336">
        <v>84.33</v>
      </c>
      <c r="E336">
        <v>4799941</v>
      </c>
      <c r="F336">
        <v>614214</v>
      </c>
      <c r="G336">
        <v>1334880541</v>
      </c>
      <c r="H336" t="s">
        <v>81</v>
      </c>
      <c r="I336" t="s">
        <v>105</v>
      </c>
      <c r="J336">
        <v>1334880.541</v>
      </c>
    </row>
    <row r="337" spans="1:10" x14ac:dyDescent="0.25">
      <c r="A337">
        <v>55</v>
      </c>
      <c r="B337" t="s">
        <v>67</v>
      </c>
      <c r="C337">
        <v>-36377</v>
      </c>
      <c r="D337">
        <v>83.183333333333337</v>
      </c>
      <c r="E337">
        <v>1343179</v>
      </c>
      <c r="F337">
        <v>-36389.199999999997</v>
      </c>
      <c r="G337">
        <v>508495732</v>
      </c>
      <c r="H337" t="s">
        <v>81</v>
      </c>
      <c r="I337" t="s">
        <v>105</v>
      </c>
      <c r="J337">
        <v>508495.73200000002</v>
      </c>
    </row>
    <row r="338" spans="1:10" x14ac:dyDescent="0.25">
      <c r="A338">
        <v>55</v>
      </c>
      <c r="B338" t="s">
        <v>65</v>
      </c>
      <c r="C338">
        <v>57227</v>
      </c>
      <c r="D338">
        <v>85.713333333333338</v>
      </c>
      <c r="E338">
        <v>2562323</v>
      </c>
      <c r="F338">
        <v>140260.09</v>
      </c>
      <c r="G338">
        <v>822400972</v>
      </c>
      <c r="H338" t="s">
        <v>81</v>
      </c>
      <c r="I338" t="s">
        <v>105</v>
      </c>
      <c r="J338">
        <v>822400.97199999995</v>
      </c>
    </row>
    <row r="339" spans="1:10" x14ac:dyDescent="0.25">
      <c r="A339">
        <v>53</v>
      </c>
      <c r="B339" t="s">
        <v>61</v>
      </c>
      <c r="C339">
        <v>-1579</v>
      </c>
      <c r="D339">
        <v>78.276666666666671</v>
      </c>
      <c r="E339">
        <v>500108</v>
      </c>
      <c r="F339">
        <v>10825.33</v>
      </c>
      <c r="G339">
        <v>164374130</v>
      </c>
      <c r="H339" t="s">
        <v>81</v>
      </c>
      <c r="I339" t="s">
        <v>105</v>
      </c>
      <c r="J339">
        <v>164374.13</v>
      </c>
    </row>
    <row r="340" spans="1:10" x14ac:dyDescent="0.25">
      <c r="A340">
        <v>55</v>
      </c>
      <c r="B340" t="s">
        <v>61</v>
      </c>
      <c r="C340">
        <v>-3902</v>
      </c>
      <c r="D340">
        <v>88.74</v>
      </c>
      <c r="E340">
        <v>560323</v>
      </c>
      <c r="F340">
        <v>7443.17</v>
      </c>
      <c r="G340">
        <v>207927066</v>
      </c>
      <c r="H340" t="s">
        <v>81</v>
      </c>
      <c r="I340" t="s">
        <v>105</v>
      </c>
      <c r="J340">
        <v>207927.06599999999</v>
      </c>
    </row>
    <row r="341" spans="1:10" x14ac:dyDescent="0.25">
      <c r="A341">
        <v>56</v>
      </c>
      <c r="B341" t="s">
        <v>61</v>
      </c>
      <c r="C341">
        <v>61358</v>
      </c>
      <c r="D341">
        <v>85.976666666666674</v>
      </c>
      <c r="E341">
        <v>611549</v>
      </c>
      <c r="F341">
        <v>92700.07</v>
      </c>
      <c r="G341">
        <v>184985095</v>
      </c>
      <c r="H341" t="s">
        <v>81</v>
      </c>
      <c r="I341" t="s">
        <v>105</v>
      </c>
      <c r="J341">
        <v>184985.095</v>
      </c>
    </row>
    <row r="342" spans="1:10" x14ac:dyDescent="0.25">
      <c r="A342">
        <v>56</v>
      </c>
      <c r="B342" t="s">
        <v>66</v>
      </c>
      <c r="C342">
        <v>58244</v>
      </c>
      <c r="D342">
        <v>85.553333333333327</v>
      </c>
      <c r="E342">
        <v>2478193</v>
      </c>
      <c r="F342">
        <v>73734</v>
      </c>
      <c r="G342">
        <v>577849746</v>
      </c>
      <c r="H342" t="s">
        <v>81</v>
      </c>
      <c r="I342" t="s">
        <v>105</v>
      </c>
      <c r="J342">
        <v>577849.74600000004</v>
      </c>
    </row>
    <row r="343" spans="1:10" x14ac:dyDescent="0.25">
      <c r="A343">
        <v>55</v>
      </c>
      <c r="B343" t="s">
        <v>62</v>
      </c>
      <c r="C343">
        <v>759316</v>
      </c>
      <c r="D343">
        <v>87.2</v>
      </c>
      <c r="E343">
        <v>13993844</v>
      </c>
      <c r="F343">
        <v>1587727</v>
      </c>
      <c r="G343">
        <v>2887504915</v>
      </c>
      <c r="H343" t="s">
        <v>81</v>
      </c>
      <c r="I343" t="s">
        <v>105</v>
      </c>
      <c r="J343">
        <v>2887504.915</v>
      </c>
    </row>
    <row r="344" spans="1:10" x14ac:dyDescent="0.25">
      <c r="A344">
        <v>56</v>
      </c>
      <c r="B344" t="s">
        <v>62</v>
      </c>
      <c r="C344">
        <v>927752</v>
      </c>
      <c r="D344">
        <v>86.960000000000008</v>
      </c>
      <c r="E344">
        <v>13460921</v>
      </c>
      <c r="F344">
        <v>1520451</v>
      </c>
      <c r="G344">
        <v>2438603809</v>
      </c>
      <c r="H344" t="s">
        <v>81</v>
      </c>
      <c r="I344" t="s">
        <v>105</v>
      </c>
      <c r="J344">
        <v>2438603.8089999999</v>
      </c>
    </row>
    <row r="345" spans="1:10" x14ac:dyDescent="0.25">
      <c r="A345">
        <v>55</v>
      </c>
      <c r="B345" t="s">
        <v>66</v>
      </c>
      <c r="C345">
        <v>58195</v>
      </c>
      <c r="D345">
        <v>86.876666666666665</v>
      </c>
      <c r="E345">
        <v>2826317</v>
      </c>
      <c r="F345">
        <v>190180</v>
      </c>
      <c r="G345">
        <v>675418957</v>
      </c>
      <c r="H345" t="s">
        <v>81</v>
      </c>
      <c r="I345" t="s">
        <v>105</v>
      </c>
      <c r="J345">
        <v>675418.95700000005</v>
      </c>
    </row>
    <row r="346" spans="1:10" x14ac:dyDescent="0.25">
      <c r="A346">
        <v>56</v>
      </c>
      <c r="B346" t="s">
        <v>68</v>
      </c>
      <c r="C346">
        <v>39973</v>
      </c>
      <c r="D346">
        <v>82.55</v>
      </c>
      <c r="E346">
        <v>905887</v>
      </c>
      <c r="F346">
        <v>44922.54</v>
      </c>
      <c r="G346">
        <v>285084742</v>
      </c>
      <c r="H346" t="s">
        <v>81</v>
      </c>
      <c r="I346" t="s">
        <v>105</v>
      </c>
      <c r="J346">
        <v>285084.74200000003</v>
      </c>
    </row>
    <row r="347" spans="1:10" x14ac:dyDescent="0.25">
      <c r="A347">
        <v>55</v>
      </c>
      <c r="B347" t="s">
        <v>68</v>
      </c>
      <c r="C347">
        <v>20739</v>
      </c>
      <c r="D347">
        <v>82.903333333333336</v>
      </c>
      <c r="E347">
        <v>906463</v>
      </c>
      <c r="F347">
        <v>42980.100000000006</v>
      </c>
      <c r="G347">
        <v>286205576</v>
      </c>
      <c r="H347" t="s">
        <v>81</v>
      </c>
      <c r="I347" t="s">
        <v>105</v>
      </c>
      <c r="J347">
        <v>286205.576</v>
      </c>
    </row>
    <row r="348" spans="1:10" x14ac:dyDescent="0.25">
      <c r="A348">
        <v>55</v>
      </c>
      <c r="B348" t="s">
        <v>63</v>
      </c>
      <c r="C348">
        <v>942051</v>
      </c>
      <c r="D348">
        <v>87.226666666666674</v>
      </c>
      <c r="E348">
        <v>12876668</v>
      </c>
      <c r="F348">
        <v>1458956.5899999999</v>
      </c>
      <c r="G348">
        <v>3168301453</v>
      </c>
      <c r="H348" t="s">
        <v>81</v>
      </c>
      <c r="I348" t="s">
        <v>105</v>
      </c>
      <c r="J348">
        <v>3168301.4530000002</v>
      </c>
    </row>
    <row r="349" spans="1:10" x14ac:dyDescent="0.25">
      <c r="A349">
        <v>56</v>
      </c>
      <c r="B349" t="s">
        <v>63</v>
      </c>
      <c r="C349">
        <v>844356</v>
      </c>
      <c r="D349">
        <v>86.893333333333331</v>
      </c>
      <c r="E349">
        <v>12400352</v>
      </c>
      <c r="F349">
        <v>1377863.51</v>
      </c>
      <c r="G349">
        <v>2805990251</v>
      </c>
      <c r="H349" t="s">
        <v>81</v>
      </c>
      <c r="I349" t="s">
        <v>105</v>
      </c>
      <c r="J349">
        <v>2805990.2510000002</v>
      </c>
    </row>
    <row r="350" spans="1:10" x14ac:dyDescent="0.25">
      <c r="A350">
        <v>55</v>
      </c>
      <c r="B350" t="s">
        <v>64</v>
      </c>
      <c r="C350">
        <v>277063</v>
      </c>
      <c r="D350">
        <v>85.233333333333334</v>
      </c>
      <c r="E350">
        <v>6220108</v>
      </c>
      <c r="F350">
        <v>395148</v>
      </c>
      <c r="G350">
        <v>1664173236</v>
      </c>
      <c r="H350" t="s">
        <v>81</v>
      </c>
      <c r="I350" t="s">
        <v>105</v>
      </c>
      <c r="J350">
        <v>1664173.236</v>
      </c>
    </row>
    <row r="351" spans="1:10" x14ac:dyDescent="0.25">
      <c r="A351">
        <v>56</v>
      </c>
      <c r="B351" t="s">
        <v>65</v>
      </c>
      <c r="C351">
        <v>23475</v>
      </c>
      <c r="D351">
        <v>84.226666666666674</v>
      </c>
      <c r="E351">
        <v>2415043</v>
      </c>
      <c r="F351">
        <v>100326.95999999999</v>
      </c>
      <c r="G351">
        <v>797531480</v>
      </c>
      <c r="H351" t="s">
        <v>81</v>
      </c>
      <c r="I351" t="s">
        <v>105</v>
      </c>
      <c r="J351">
        <v>797531.48</v>
      </c>
    </row>
    <row r="352" spans="1:10" x14ac:dyDescent="0.25">
      <c r="A352">
        <v>1</v>
      </c>
      <c r="B352" t="s">
        <v>4</v>
      </c>
      <c r="C352">
        <v>-365661</v>
      </c>
      <c r="D352">
        <v>78.61666666666666</v>
      </c>
      <c r="E352">
        <v>4833992</v>
      </c>
      <c r="F352">
        <v>-226645</v>
      </c>
      <c r="G352">
        <v>1142869172</v>
      </c>
      <c r="H352" t="s">
        <v>81</v>
      </c>
      <c r="I352" t="s">
        <v>103</v>
      </c>
      <c r="J352">
        <v>1142869.172</v>
      </c>
    </row>
    <row r="353" spans="1:10" x14ac:dyDescent="0.25">
      <c r="A353">
        <v>1</v>
      </c>
      <c r="B353" t="s">
        <v>66</v>
      </c>
      <c r="C353">
        <v>-12045</v>
      </c>
      <c r="D353">
        <v>74.7</v>
      </c>
      <c r="E353">
        <v>653137</v>
      </c>
      <c r="F353">
        <v>6811</v>
      </c>
      <c r="G353">
        <v>109886338</v>
      </c>
      <c r="H353" t="s">
        <v>81</v>
      </c>
      <c r="I353" t="s">
        <v>103</v>
      </c>
      <c r="J353">
        <v>109886.338</v>
      </c>
    </row>
    <row r="354" spans="1:10" x14ac:dyDescent="0.25">
      <c r="A354">
        <v>1</v>
      </c>
      <c r="B354" t="s">
        <v>65</v>
      </c>
      <c r="C354">
        <v>11678</v>
      </c>
      <c r="D354">
        <v>75.956666666666663</v>
      </c>
      <c r="E354">
        <v>792890</v>
      </c>
      <c r="F354">
        <v>72159.09</v>
      </c>
      <c r="G354">
        <v>214388168</v>
      </c>
      <c r="H354" t="s">
        <v>81</v>
      </c>
      <c r="I354" t="s">
        <v>103</v>
      </c>
      <c r="J354">
        <v>214388.16800000001</v>
      </c>
    </row>
    <row r="355" spans="1:10" x14ac:dyDescent="0.25">
      <c r="A355">
        <v>1</v>
      </c>
      <c r="B355" t="s">
        <v>62</v>
      </c>
      <c r="C355">
        <v>-515691</v>
      </c>
      <c r="D355">
        <v>80</v>
      </c>
      <c r="E355">
        <v>4232092</v>
      </c>
      <c r="F355">
        <v>-337084</v>
      </c>
      <c r="G355">
        <v>1279161613</v>
      </c>
      <c r="H355" t="s">
        <v>81</v>
      </c>
      <c r="I355" t="s">
        <v>103</v>
      </c>
      <c r="J355">
        <v>1279161.6129999999</v>
      </c>
    </row>
    <row r="356" spans="1:10" x14ac:dyDescent="0.25">
      <c r="A356">
        <v>1</v>
      </c>
      <c r="B356" t="s">
        <v>68</v>
      </c>
      <c r="C356">
        <v>-163595</v>
      </c>
      <c r="D356">
        <v>73.713333333333338</v>
      </c>
      <c r="E356">
        <v>263919</v>
      </c>
      <c r="F356">
        <v>22157.100000000002</v>
      </c>
      <c r="G356">
        <v>52101679</v>
      </c>
      <c r="H356" t="s">
        <v>81</v>
      </c>
      <c r="I356" t="s">
        <v>103</v>
      </c>
      <c r="J356">
        <v>52101.678999999996</v>
      </c>
    </row>
    <row r="357" spans="1:10" x14ac:dyDescent="0.25">
      <c r="A357">
        <v>1</v>
      </c>
      <c r="B357" t="s">
        <v>61</v>
      </c>
      <c r="C357">
        <v>40267</v>
      </c>
      <c r="D357">
        <v>90.526666666666671</v>
      </c>
      <c r="E357">
        <v>137009</v>
      </c>
      <c r="F357">
        <v>41209</v>
      </c>
      <c r="G357">
        <v>35933971</v>
      </c>
      <c r="H357" t="s">
        <v>81</v>
      </c>
      <c r="I357" t="s">
        <v>103</v>
      </c>
      <c r="J357">
        <v>35933.970999999998</v>
      </c>
    </row>
    <row r="358" spans="1:10" x14ac:dyDescent="0.25">
      <c r="A358">
        <v>1</v>
      </c>
      <c r="B358" t="s">
        <v>60</v>
      </c>
      <c r="C358">
        <v>24494</v>
      </c>
      <c r="D358">
        <v>84.176666666666662</v>
      </c>
      <c r="E358">
        <v>288681</v>
      </c>
      <c r="F358">
        <v>37056.639999999999</v>
      </c>
      <c r="G358">
        <v>47725680</v>
      </c>
      <c r="H358" t="s">
        <v>81</v>
      </c>
      <c r="I358" t="s">
        <v>103</v>
      </c>
      <c r="J358">
        <v>47725.68</v>
      </c>
    </row>
    <row r="359" spans="1:10" x14ac:dyDescent="0.25">
      <c r="A359">
        <v>1</v>
      </c>
      <c r="B359" t="s">
        <v>67</v>
      </c>
      <c r="C359">
        <v>18710</v>
      </c>
      <c r="D359">
        <v>79.626666666666665</v>
      </c>
      <c r="E359">
        <v>170029</v>
      </c>
      <c r="F359">
        <v>30684</v>
      </c>
      <c r="G359">
        <v>35890000</v>
      </c>
      <c r="H359" t="s">
        <v>81</v>
      </c>
      <c r="I359" t="s">
        <v>103</v>
      </c>
      <c r="J359">
        <v>35890</v>
      </c>
    </row>
    <row r="360" spans="1:10" x14ac:dyDescent="0.25">
      <c r="A360">
        <v>1</v>
      </c>
      <c r="B360" t="s">
        <v>63</v>
      </c>
      <c r="C360">
        <v>-380446</v>
      </c>
      <c r="D360">
        <v>79.27</v>
      </c>
      <c r="E360">
        <v>3693574</v>
      </c>
      <c r="F360">
        <v>-135835</v>
      </c>
      <c r="G360">
        <v>717066281</v>
      </c>
      <c r="H360" t="s">
        <v>81</v>
      </c>
      <c r="I360" t="s">
        <v>103</v>
      </c>
      <c r="J360">
        <v>717066.28099999996</v>
      </c>
    </row>
    <row r="361" spans="1:10" x14ac:dyDescent="0.25">
      <c r="A361">
        <v>1</v>
      </c>
      <c r="B361" t="s">
        <v>64</v>
      </c>
      <c r="C361">
        <v>-90959</v>
      </c>
      <c r="D361">
        <v>69.726666666666674</v>
      </c>
      <c r="E361">
        <v>2356573</v>
      </c>
      <c r="F361">
        <v>-49950</v>
      </c>
      <c r="G361">
        <v>664187022</v>
      </c>
      <c r="H361" t="s">
        <v>81</v>
      </c>
      <c r="I361" t="s">
        <v>103</v>
      </c>
      <c r="J361">
        <v>664187.022</v>
      </c>
    </row>
    <row r="362" spans="1:10" x14ac:dyDescent="0.25">
      <c r="A362">
        <v>45</v>
      </c>
      <c r="B362" t="s">
        <v>4</v>
      </c>
      <c r="C362">
        <v>-2168980</v>
      </c>
      <c r="D362">
        <v>72.763333333333321</v>
      </c>
      <c r="E362">
        <v>8513799</v>
      </c>
      <c r="F362">
        <v>-2535836.1700000004</v>
      </c>
      <c r="G362">
        <v>1301661027</v>
      </c>
      <c r="H362" t="s">
        <v>81</v>
      </c>
      <c r="I362" t="s">
        <v>103</v>
      </c>
      <c r="J362">
        <v>1301661.027</v>
      </c>
    </row>
    <row r="363" spans="1:10" x14ac:dyDescent="0.25">
      <c r="A363">
        <v>25</v>
      </c>
      <c r="B363" t="s">
        <v>4</v>
      </c>
      <c r="C363">
        <v>568888</v>
      </c>
      <c r="D363">
        <v>82.533333333333331</v>
      </c>
      <c r="E363">
        <v>6368699</v>
      </c>
      <c r="F363">
        <v>760228.79</v>
      </c>
      <c r="G363">
        <v>1031026090</v>
      </c>
      <c r="H363" t="s">
        <v>81</v>
      </c>
      <c r="I363" t="s">
        <v>103</v>
      </c>
      <c r="J363">
        <v>1031026.09</v>
      </c>
    </row>
    <row r="364" spans="1:10" x14ac:dyDescent="0.25">
      <c r="A364">
        <v>45</v>
      </c>
      <c r="B364" t="s">
        <v>63</v>
      </c>
      <c r="C364">
        <v>-1704038</v>
      </c>
      <c r="D364">
        <v>70.653333333333336</v>
      </c>
      <c r="E364">
        <v>7978567</v>
      </c>
      <c r="F364">
        <v>-971679.08</v>
      </c>
      <c r="G364">
        <v>1307507966</v>
      </c>
      <c r="H364" t="s">
        <v>81</v>
      </c>
      <c r="I364" t="s">
        <v>103</v>
      </c>
      <c r="J364">
        <v>1307507.966</v>
      </c>
    </row>
    <row r="365" spans="1:10" x14ac:dyDescent="0.25">
      <c r="A365">
        <v>27</v>
      </c>
      <c r="B365" t="s">
        <v>4</v>
      </c>
      <c r="C365">
        <v>1722143</v>
      </c>
      <c r="D365">
        <v>88.11</v>
      </c>
      <c r="E365">
        <v>10732390</v>
      </c>
      <c r="F365">
        <v>2002746.68</v>
      </c>
      <c r="G365">
        <v>1532765621</v>
      </c>
      <c r="H365" t="s">
        <v>81</v>
      </c>
      <c r="I365" t="s">
        <v>103</v>
      </c>
      <c r="J365">
        <v>1532765.621</v>
      </c>
    </row>
    <row r="366" spans="1:10" x14ac:dyDescent="0.25">
      <c r="A366">
        <v>28</v>
      </c>
      <c r="B366" t="s">
        <v>4</v>
      </c>
      <c r="C366">
        <v>3750106</v>
      </c>
      <c r="D366">
        <v>86.183333333333337</v>
      </c>
      <c r="E366">
        <v>9660917</v>
      </c>
      <c r="F366">
        <v>1063357.77</v>
      </c>
      <c r="G366">
        <v>1242051211</v>
      </c>
      <c r="H366" t="s">
        <v>81</v>
      </c>
      <c r="I366" t="s">
        <v>103</v>
      </c>
      <c r="J366">
        <v>1242051.2109999999</v>
      </c>
    </row>
    <row r="367" spans="1:10" x14ac:dyDescent="0.25">
      <c r="A367">
        <v>29</v>
      </c>
      <c r="B367" t="s">
        <v>4</v>
      </c>
      <c r="C367">
        <v>710272</v>
      </c>
      <c r="D367">
        <v>83.14</v>
      </c>
      <c r="E367">
        <v>9497067</v>
      </c>
      <c r="F367">
        <v>1323156</v>
      </c>
      <c r="G367">
        <v>939341523</v>
      </c>
      <c r="H367" t="s">
        <v>81</v>
      </c>
      <c r="I367" t="s">
        <v>103</v>
      </c>
      <c r="J367">
        <v>939341.52300000004</v>
      </c>
    </row>
    <row r="368" spans="1:10" x14ac:dyDescent="0.25">
      <c r="A368">
        <v>30</v>
      </c>
      <c r="B368" t="s">
        <v>4</v>
      </c>
      <c r="C368">
        <v>972247</v>
      </c>
      <c r="D368">
        <v>86.33</v>
      </c>
      <c r="E368">
        <v>10449889</v>
      </c>
      <c r="F368">
        <v>1757273.4100000001</v>
      </c>
      <c r="G368">
        <v>1219061714</v>
      </c>
      <c r="H368" t="s">
        <v>81</v>
      </c>
      <c r="I368" t="s">
        <v>103</v>
      </c>
      <c r="J368">
        <v>1219061.7139999999</v>
      </c>
    </row>
    <row r="369" spans="1:10" x14ac:dyDescent="0.25">
      <c r="A369">
        <v>31</v>
      </c>
      <c r="B369" t="s">
        <v>4</v>
      </c>
      <c r="C369">
        <v>758111</v>
      </c>
      <c r="D369">
        <v>85.63</v>
      </c>
      <c r="E369">
        <v>10688632</v>
      </c>
      <c r="F369">
        <v>1432349.56</v>
      </c>
      <c r="G369">
        <v>1314340830</v>
      </c>
      <c r="H369" t="s">
        <v>81</v>
      </c>
      <c r="I369" t="s">
        <v>103</v>
      </c>
      <c r="J369">
        <v>1314340.83</v>
      </c>
    </row>
    <row r="370" spans="1:10" x14ac:dyDescent="0.25">
      <c r="A370">
        <v>34</v>
      </c>
      <c r="B370" t="s">
        <v>4</v>
      </c>
      <c r="C370">
        <v>826895</v>
      </c>
      <c r="D370">
        <v>86</v>
      </c>
      <c r="E370">
        <v>11101812</v>
      </c>
      <c r="F370">
        <v>1526949.72</v>
      </c>
      <c r="G370">
        <v>1414059555</v>
      </c>
      <c r="H370" t="s">
        <v>81</v>
      </c>
      <c r="I370" t="s">
        <v>103</v>
      </c>
      <c r="J370">
        <v>1414059.5549999999</v>
      </c>
    </row>
    <row r="371" spans="1:10" x14ac:dyDescent="0.25">
      <c r="A371">
        <v>45</v>
      </c>
      <c r="B371" t="s">
        <v>62</v>
      </c>
      <c r="C371">
        <v>-511355</v>
      </c>
      <c r="D371">
        <v>72.78</v>
      </c>
      <c r="E371">
        <v>8606741</v>
      </c>
      <c r="F371">
        <v>-326044</v>
      </c>
      <c r="G371">
        <v>1378265322</v>
      </c>
      <c r="H371" t="s">
        <v>81</v>
      </c>
      <c r="I371" t="s">
        <v>103</v>
      </c>
      <c r="J371">
        <v>1378265.3219999999</v>
      </c>
    </row>
    <row r="372" spans="1:10" x14ac:dyDescent="0.25">
      <c r="A372">
        <v>35</v>
      </c>
      <c r="B372" t="s">
        <v>4</v>
      </c>
      <c r="C372">
        <v>648700</v>
      </c>
      <c r="D372">
        <v>85.11</v>
      </c>
      <c r="E372">
        <v>10875392</v>
      </c>
      <c r="F372">
        <v>1224775.9500000002</v>
      </c>
      <c r="G372">
        <v>1486707737</v>
      </c>
      <c r="H372" t="s">
        <v>81</v>
      </c>
      <c r="I372" t="s">
        <v>103</v>
      </c>
      <c r="J372">
        <v>1486707.737</v>
      </c>
    </row>
    <row r="373" spans="1:10" x14ac:dyDescent="0.25">
      <c r="A373">
        <v>45</v>
      </c>
      <c r="B373" t="s">
        <v>66</v>
      </c>
      <c r="C373">
        <v>-210182</v>
      </c>
      <c r="D373">
        <v>68.803333333333342</v>
      </c>
      <c r="E373">
        <v>1634978</v>
      </c>
      <c r="F373">
        <v>-256903</v>
      </c>
      <c r="G373">
        <v>316901620</v>
      </c>
      <c r="H373" t="s">
        <v>81</v>
      </c>
      <c r="I373" t="s">
        <v>103</v>
      </c>
      <c r="J373">
        <v>316901.62</v>
      </c>
    </row>
    <row r="374" spans="1:10" x14ac:dyDescent="0.25">
      <c r="A374">
        <v>45</v>
      </c>
      <c r="B374" t="s">
        <v>65</v>
      </c>
      <c r="C374">
        <v>-267924</v>
      </c>
      <c r="D374">
        <v>67.55</v>
      </c>
      <c r="E374">
        <v>1588455</v>
      </c>
      <c r="F374">
        <v>-130877.81999999999</v>
      </c>
      <c r="G374">
        <v>365233830</v>
      </c>
      <c r="H374" t="s">
        <v>81</v>
      </c>
      <c r="I374" t="s">
        <v>103</v>
      </c>
      <c r="J374">
        <v>365233.83</v>
      </c>
    </row>
    <row r="375" spans="1:10" x14ac:dyDescent="0.25">
      <c r="A375">
        <v>25</v>
      </c>
      <c r="B375" t="s">
        <v>60</v>
      </c>
      <c r="C375">
        <v>32651</v>
      </c>
      <c r="D375">
        <v>81.52</v>
      </c>
      <c r="E375">
        <v>539206</v>
      </c>
      <c r="F375">
        <v>72014.23</v>
      </c>
      <c r="G375">
        <v>106963294</v>
      </c>
      <c r="H375" t="s">
        <v>81</v>
      </c>
      <c r="I375" t="s">
        <v>103</v>
      </c>
      <c r="J375">
        <v>106963.29399999999</v>
      </c>
    </row>
    <row r="376" spans="1:10" x14ac:dyDescent="0.25">
      <c r="A376">
        <v>27</v>
      </c>
      <c r="B376" t="s">
        <v>60</v>
      </c>
      <c r="C376">
        <v>71098</v>
      </c>
      <c r="D376">
        <v>84.899999999999991</v>
      </c>
      <c r="E376">
        <v>630657</v>
      </c>
      <c r="F376">
        <v>156130.66999999998</v>
      </c>
      <c r="G376">
        <v>101527462</v>
      </c>
      <c r="H376" t="s">
        <v>81</v>
      </c>
      <c r="I376" t="s">
        <v>103</v>
      </c>
      <c r="J376">
        <v>101527.462</v>
      </c>
    </row>
    <row r="377" spans="1:10" x14ac:dyDescent="0.25">
      <c r="A377">
        <v>28</v>
      </c>
      <c r="B377" t="s">
        <v>60</v>
      </c>
      <c r="C377">
        <v>38956</v>
      </c>
      <c r="D377">
        <v>84.63333333333334</v>
      </c>
      <c r="E377">
        <v>573040</v>
      </c>
      <c r="F377">
        <v>110502.3</v>
      </c>
      <c r="G377">
        <v>84447485</v>
      </c>
      <c r="H377" t="s">
        <v>81</v>
      </c>
      <c r="I377" t="s">
        <v>103</v>
      </c>
      <c r="J377">
        <v>84447.485000000001</v>
      </c>
    </row>
    <row r="378" spans="1:10" x14ac:dyDescent="0.25">
      <c r="A378">
        <v>29</v>
      </c>
      <c r="B378" t="s">
        <v>60</v>
      </c>
      <c r="C378">
        <v>53016</v>
      </c>
      <c r="D378">
        <v>82.913333333333327</v>
      </c>
      <c r="E378">
        <v>547790</v>
      </c>
      <c r="F378">
        <v>95334.569999999992</v>
      </c>
      <c r="G378">
        <v>66299120</v>
      </c>
      <c r="H378" t="s">
        <v>81</v>
      </c>
      <c r="I378" t="s">
        <v>103</v>
      </c>
      <c r="J378">
        <v>66299.12</v>
      </c>
    </row>
    <row r="379" spans="1:10" x14ac:dyDescent="0.25">
      <c r="A379">
        <v>30</v>
      </c>
      <c r="B379" t="s">
        <v>60</v>
      </c>
      <c r="C379">
        <v>80739</v>
      </c>
      <c r="D379">
        <v>88.126666666666665</v>
      </c>
      <c r="E379">
        <v>592384</v>
      </c>
      <c r="F379">
        <v>121457.21</v>
      </c>
      <c r="G379">
        <v>80547123</v>
      </c>
      <c r="H379" t="s">
        <v>81</v>
      </c>
      <c r="I379" t="s">
        <v>103</v>
      </c>
      <c r="J379">
        <v>80547.123000000007</v>
      </c>
    </row>
    <row r="380" spans="1:10" x14ac:dyDescent="0.25">
      <c r="A380">
        <v>31</v>
      </c>
      <c r="B380" t="s">
        <v>60</v>
      </c>
      <c r="C380">
        <v>103518</v>
      </c>
      <c r="D380">
        <v>87.64</v>
      </c>
      <c r="E380">
        <v>670114</v>
      </c>
      <c r="F380">
        <v>177784.94</v>
      </c>
      <c r="G380">
        <v>90381635</v>
      </c>
      <c r="H380" t="s">
        <v>81</v>
      </c>
      <c r="I380" t="s">
        <v>103</v>
      </c>
      <c r="J380">
        <v>90381.634999999995</v>
      </c>
    </row>
    <row r="381" spans="1:10" x14ac:dyDescent="0.25">
      <c r="A381">
        <v>34</v>
      </c>
      <c r="B381" t="s">
        <v>60</v>
      </c>
      <c r="C381">
        <v>81839</v>
      </c>
      <c r="D381">
        <v>89.926666666666662</v>
      </c>
      <c r="E381">
        <v>673608</v>
      </c>
      <c r="F381">
        <v>149368.47999999998</v>
      </c>
      <c r="G381">
        <v>98522853</v>
      </c>
      <c r="H381" t="s">
        <v>81</v>
      </c>
      <c r="I381" t="s">
        <v>103</v>
      </c>
      <c r="J381">
        <v>98522.853000000003</v>
      </c>
    </row>
    <row r="382" spans="1:10" x14ac:dyDescent="0.25">
      <c r="A382">
        <v>35</v>
      </c>
      <c r="B382" t="s">
        <v>60</v>
      </c>
      <c r="C382">
        <v>75779</v>
      </c>
      <c r="D382">
        <v>88.53</v>
      </c>
      <c r="E382">
        <v>717812</v>
      </c>
      <c r="F382">
        <v>175580.79</v>
      </c>
      <c r="G382">
        <v>105448874</v>
      </c>
      <c r="H382" t="s">
        <v>81</v>
      </c>
      <c r="I382" t="s">
        <v>103</v>
      </c>
      <c r="J382">
        <v>105448.874</v>
      </c>
    </row>
    <row r="383" spans="1:10" x14ac:dyDescent="0.25">
      <c r="A383">
        <v>45</v>
      </c>
      <c r="B383" t="s">
        <v>68</v>
      </c>
      <c r="C383">
        <v>-59506</v>
      </c>
      <c r="D383">
        <v>73.599999999999994</v>
      </c>
      <c r="E383">
        <v>543918</v>
      </c>
      <c r="F383">
        <v>-99036.15</v>
      </c>
      <c r="G383">
        <v>117444790</v>
      </c>
      <c r="H383" t="s">
        <v>81</v>
      </c>
      <c r="I383" t="s">
        <v>103</v>
      </c>
      <c r="J383">
        <v>117444.79</v>
      </c>
    </row>
    <row r="384" spans="1:10" x14ac:dyDescent="0.25">
      <c r="A384">
        <v>45</v>
      </c>
      <c r="B384" t="s">
        <v>64</v>
      </c>
      <c r="C384">
        <v>-94311</v>
      </c>
      <c r="D384">
        <v>67.116666666666674</v>
      </c>
      <c r="E384">
        <v>4233934</v>
      </c>
      <c r="F384">
        <v>-109526</v>
      </c>
      <c r="G384">
        <v>827505563</v>
      </c>
      <c r="H384" t="s">
        <v>81</v>
      </c>
      <c r="I384" t="s">
        <v>103</v>
      </c>
      <c r="J384">
        <v>827505.56299999997</v>
      </c>
    </row>
    <row r="385" spans="1:10" x14ac:dyDescent="0.25">
      <c r="A385">
        <v>45</v>
      </c>
      <c r="B385" t="s">
        <v>60</v>
      </c>
      <c r="C385">
        <v>-142438</v>
      </c>
      <c r="D385">
        <v>73.256666666666661</v>
      </c>
      <c r="E385">
        <v>559162</v>
      </c>
      <c r="F385">
        <v>-58680.979999999996</v>
      </c>
      <c r="G385">
        <v>109070094</v>
      </c>
      <c r="H385" t="s">
        <v>81</v>
      </c>
      <c r="I385" t="s">
        <v>103</v>
      </c>
      <c r="J385">
        <v>109070.094</v>
      </c>
    </row>
    <row r="386" spans="1:10" x14ac:dyDescent="0.25">
      <c r="A386">
        <v>29</v>
      </c>
      <c r="B386" t="s">
        <v>63</v>
      </c>
      <c r="C386">
        <v>313862</v>
      </c>
      <c r="D386">
        <v>83.42</v>
      </c>
      <c r="E386">
        <v>8195291</v>
      </c>
      <c r="F386">
        <v>649435.35</v>
      </c>
      <c r="G386">
        <v>817910673</v>
      </c>
      <c r="H386" t="s">
        <v>81</v>
      </c>
      <c r="I386" t="s">
        <v>103</v>
      </c>
      <c r="J386">
        <v>817910.67299999995</v>
      </c>
    </row>
    <row r="387" spans="1:10" x14ac:dyDescent="0.25">
      <c r="A387">
        <v>45</v>
      </c>
      <c r="B387" t="s">
        <v>67</v>
      </c>
      <c r="C387">
        <v>-27828</v>
      </c>
      <c r="D387">
        <v>71.13333333333334</v>
      </c>
      <c r="E387">
        <v>771081</v>
      </c>
      <c r="F387">
        <v>-57991.979999999996</v>
      </c>
      <c r="G387">
        <v>213207977</v>
      </c>
      <c r="H387" t="s">
        <v>81</v>
      </c>
      <c r="I387" t="s">
        <v>103</v>
      </c>
      <c r="J387">
        <v>213207.97700000001</v>
      </c>
    </row>
    <row r="388" spans="1:10" x14ac:dyDescent="0.25">
      <c r="A388">
        <v>25</v>
      </c>
      <c r="B388" t="s">
        <v>61</v>
      </c>
      <c r="C388">
        <v>99824</v>
      </c>
      <c r="D388">
        <v>88.27</v>
      </c>
      <c r="E388">
        <v>318194</v>
      </c>
      <c r="F388">
        <v>102576.94</v>
      </c>
      <c r="G388">
        <v>70765862</v>
      </c>
      <c r="H388" t="s">
        <v>81</v>
      </c>
      <c r="I388" t="s">
        <v>103</v>
      </c>
      <c r="J388">
        <v>70765.861999999994</v>
      </c>
    </row>
    <row r="389" spans="1:10" x14ac:dyDescent="0.25">
      <c r="A389">
        <v>27</v>
      </c>
      <c r="B389" t="s">
        <v>61</v>
      </c>
      <c r="C389">
        <v>70421</v>
      </c>
      <c r="D389">
        <v>87.256666666666661</v>
      </c>
      <c r="E389">
        <v>290034</v>
      </c>
      <c r="F389">
        <v>73212.94</v>
      </c>
      <c r="G389">
        <v>68969594</v>
      </c>
      <c r="H389" t="s">
        <v>81</v>
      </c>
      <c r="I389" t="s">
        <v>103</v>
      </c>
      <c r="J389">
        <v>68969.593999999997</v>
      </c>
    </row>
    <row r="390" spans="1:10" x14ac:dyDescent="0.25">
      <c r="A390">
        <v>28</v>
      </c>
      <c r="B390" t="s">
        <v>61</v>
      </c>
      <c r="C390">
        <v>90094</v>
      </c>
      <c r="D390">
        <v>83.516666666666666</v>
      </c>
      <c r="E390">
        <v>302260</v>
      </c>
      <c r="F390">
        <v>91974.11</v>
      </c>
      <c r="G390">
        <v>61679854</v>
      </c>
      <c r="H390" t="s">
        <v>81</v>
      </c>
      <c r="I390" t="s">
        <v>103</v>
      </c>
      <c r="J390">
        <v>61679.853999999999</v>
      </c>
    </row>
    <row r="391" spans="1:10" x14ac:dyDescent="0.25">
      <c r="A391">
        <v>29</v>
      </c>
      <c r="B391" t="s">
        <v>61</v>
      </c>
      <c r="C391">
        <v>112370</v>
      </c>
      <c r="D391">
        <v>85.946666666666673</v>
      </c>
      <c r="E391">
        <v>337294</v>
      </c>
      <c r="F391">
        <v>115497.38</v>
      </c>
      <c r="G391">
        <v>53774689</v>
      </c>
      <c r="H391" t="s">
        <v>81</v>
      </c>
      <c r="I391" t="s">
        <v>103</v>
      </c>
      <c r="J391">
        <v>53774.688999999998</v>
      </c>
    </row>
    <row r="392" spans="1:10" x14ac:dyDescent="0.25">
      <c r="A392">
        <v>30</v>
      </c>
      <c r="B392" t="s">
        <v>61</v>
      </c>
      <c r="C392">
        <v>93676</v>
      </c>
      <c r="D392">
        <v>86.183333333333337</v>
      </c>
      <c r="E392">
        <v>332758</v>
      </c>
      <c r="F392">
        <v>97699.59</v>
      </c>
      <c r="G392">
        <v>68443100</v>
      </c>
      <c r="H392" t="s">
        <v>81</v>
      </c>
      <c r="I392" t="s">
        <v>103</v>
      </c>
      <c r="J392">
        <v>68443.100000000006</v>
      </c>
    </row>
    <row r="393" spans="1:10" x14ac:dyDescent="0.25">
      <c r="A393">
        <v>31</v>
      </c>
      <c r="B393" t="s">
        <v>61</v>
      </c>
      <c r="C393">
        <v>69324</v>
      </c>
      <c r="D393">
        <v>86.943333333333328</v>
      </c>
      <c r="E393">
        <v>322088</v>
      </c>
      <c r="F393">
        <v>71859.289999999994</v>
      </c>
      <c r="G393">
        <v>70416853</v>
      </c>
      <c r="H393" t="s">
        <v>81</v>
      </c>
      <c r="I393" t="s">
        <v>103</v>
      </c>
      <c r="J393">
        <v>70416.853000000003</v>
      </c>
    </row>
    <row r="394" spans="1:10" x14ac:dyDescent="0.25">
      <c r="A394">
        <v>34</v>
      </c>
      <c r="B394" t="s">
        <v>61</v>
      </c>
      <c r="C394">
        <v>73787</v>
      </c>
      <c r="D394">
        <v>84.72</v>
      </c>
      <c r="E394">
        <v>384424</v>
      </c>
      <c r="F394">
        <v>76865.039999999994</v>
      </c>
      <c r="G394">
        <v>84993718</v>
      </c>
      <c r="H394" t="s">
        <v>81</v>
      </c>
      <c r="I394" t="s">
        <v>103</v>
      </c>
      <c r="J394">
        <v>84993.717999999993</v>
      </c>
    </row>
    <row r="395" spans="1:10" x14ac:dyDescent="0.25">
      <c r="A395">
        <v>35</v>
      </c>
      <c r="B395" t="s">
        <v>61</v>
      </c>
      <c r="C395">
        <v>31430</v>
      </c>
      <c r="D395">
        <v>84.763333333333335</v>
      </c>
      <c r="E395">
        <v>333708</v>
      </c>
      <c r="F395">
        <v>35082.519999999997</v>
      </c>
      <c r="G395">
        <v>80119142</v>
      </c>
      <c r="H395" t="s">
        <v>81</v>
      </c>
      <c r="I395" t="s">
        <v>103</v>
      </c>
      <c r="J395">
        <v>80119.142000000007</v>
      </c>
    </row>
    <row r="396" spans="1:10" x14ac:dyDescent="0.25">
      <c r="A396">
        <v>25</v>
      </c>
      <c r="B396" t="s">
        <v>66</v>
      </c>
      <c r="C396">
        <v>145466</v>
      </c>
      <c r="D396">
        <v>83.996666666666655</v>
      </c>
      <c r="E396">
        <v>1267731</v>
      </c>
      <c r="F396">
        <v>238150</v>
      </c>
      <c r="G396">
        <v>204360350</v>
      </c>
      <c r="H396" t="s">
        <v>81</v>
      </c>
      <c r="I396" t="s">
        <v>103</v>
      </c>
      <c r="J396">
        <v>204360.35</v>
      </c>
    </row>
    <row r="397" spans="1:10" x14ac:dyDescent="0.25">
      <c r="A397">
        <v>25</v>
      </c>
      <c r="B397" t="s">
        <v>65</v>
      </c>
      <c r="C397">
        <v>137003</v>
      </c>
      <c r="D397">
        <v>84.983333333333334</v>
      </c>
      <c r="E397">
        <v>1523656</v>
      </c>
      <c r="F397">
        <v>243602.40999999997</v>
      </c>
      <c r="G397">
        <v>334819240</v>
      </c>
      <c r="H397" t="s">
        <v>81</v>
      </c>
      <c r="I397" t="s">
        <v>103</v>
      </c>
      <c r="J397">
        <v>334819.24</v>
      </c>
    </row>
    <row r="398" spans="1:10" x14ac:dyDescent="0.25">
      <c r="A398">
        <v>25</v>
      </c>
      <c r="B398" t="s">
        <v>62</v>
      </c>
      <c r="C398">
        <v>744504</v>
      </c>
      <c r="D398">
        <v>84.86333333333333</v>
      </c>
      <c r="E398">
        <v>9407610</v>
      </c>
      <c r="F398">
        <v>1404428</v>
      </c>
      <c r="G398">
        <v>2423967351</v>
      </c>
      <c r="H398" t="s">
        <v>81</v>
      </c>
      <c r="I398" t="s">
        <v>103</v>
      </c>
      <c r="J398">
        <v>2423967.3509999998</v>
      </c>
    </row>
    <row r="399" spans="1:10" x14ac:dyDescent="0.25">
      <c r="A399">
        <v>25</v>
      </c>
      <c r="B399" t="s">
        <v>68</v>
      </c>
      <c r="C399">
        <v>30810</v>
      </c>
      <c r="D399">
        <v>85.05</v>
      </c>
      <c r="E399">
        <v>369422</v>
      </c>
      <c r="F399">
        <v>50401.03</v>
      </c>
      <c r="G399">
        <v>83790345</v>
      </c>
      <c r="H399" t="s">
        <v>81</v>
      </c>
      <c r="I399" t="s">
        <v>103</v>
      </c>
      <c r="J399">
        <v>83790.345000000001</v>
      </c>
    </row>
    <row r="400" spans="1:10" x14ac:dyDescent="0.25">
      <c r="A400">
        <v>25</v>
      </c>
      <c r="B400" t="s">
        <v>67</v>
      </c>
      <c r="C400">
        <v>69002</v>
      </c>
      <c r="D400">
        <v>85.51</v>
      </c>
      <c r="E400">
        <v>493355</v>
      </c>
      <c r="F400">
        <v>109251.18000000001</v>
      </c>
      <c r="G400">
        <v>112425273</v>
      </c>
      <c r="H400" t="s">
        <v>81</v>
      </c>
      <c r="I400" t="s">
        <v>103</v>
      </c>
      <c r="J400">
        <v>112425.273</v>
      </c>
    </row>
    <row r="401" spans="1:10" x14ac:dyDescent="0.25">
      <c r="A401">
        <v>25</v>
      </c>
      <c r="B401" t="s">
        <v>63</v>
      </c>
      <c r="C401">
        <v>509296</v>
      </c>
      <c r="D401">
        <v>84.326666666666668</v>
      </c>
      <c r="E401">
        <v>8608479</v>
      </c>
      <c r="F401">
        <v>740717.99</v>
      </c>
      <c r="G401">
        <v>1324808019</v>
      </c>
      <c r="H401" t="s">
        <v>81</v>
      </c>
      <c r="I401" t="s">
        <v>103</v>
      </c>
      <c r="J401">
        <v>1324808.0190000001</v>
      </c>
    </row>
    <row r="402" spans="1:10" x14ac:dyDescent="0.25">
      <c r="A402">
        <v>25</v>
      </c>
      <c r="B402" t="s">
        <v>64</v>
      </c>
      <c r="C402">
        <v>452936</v>
      </c>
      <c r="D402">
        <v>79.976666666666659</v>
      </c>
      <c r="E402">
        <v>4414255</v>
      </c>
      <c r="F402">
        <v>780327</v>
      </c>
      <c r="G402">
        <v>833829602</v>
      </c>
      <c r="H402" t="s">
        <v>81</v>
      </c>
      <c r="I402" t="s">
        <v>103</v>
      </c>
      <c r="J402">
        <v>833829.60199999996</v>
      </c>
    </row>
    <row r="403" spans="1:10" x14ac:dyDescent="0.25">
      <c r="A403">
        <v>45</v>
      </c>
      <c r="B403" t="s">
        <v>61</v>
      </c>
      <c r="C403">
        <v>29779</v>
      </c>
      <c r="D403">
        <v>74.826666666666668</v>
      </c>
      <c r="E403">
        <v>386605</v>
      </c>
      <c r="F403">
        <v>38659.279999999999</v>
      </c>
      <c r="G403">
        <v>89257839</v>
      </c>
      <c r="H403" t="s">
        <v>81</v>
      </c>
      <c r="I403" t="s">
        <v>103</v>
      </c>
      <c r="J403">
        <v>89257.839000000007</v>
      </c>
    </row>
    <row r="404" spans="1:10" x14ac:dyDescent="0.25">
      <c r="A404">
        <v>27</v>
      </c>
      <c r="B404" t="s">
        <v>66</v>
      </c>
      <c r="C404">
        <v>267766</v>
      </c>
      <c r="D404">
        <v>86</v>
      </c>
      <c r="E404">
        <v>1514010</v>
      </c>
      <c r="F404">
        <v>432569</v>
      </c>
      <c r="G404">
        <v>206330579</v>
      </c>
      <c r="H404" t="s">
        <v>81</v>
      </c>
      <c r="I404" t="s">
        <v>103</v>
      </c>
      <c r="J404">
        <v>206330.579</v>
      </c>
    </row>
    <row r="405" spans="1:10" x14ac:dyDescent="0.25">
      <c r="A405">
        <v>27</v>
      </c>
      <c r="B405" t="s">
        <v>65</v>
      </c>
      <c r="C405">
        <v>198103</v>
      </c>
      <c r="D405">
        <v>85.1</v>
      </c>
      <c r="E405">
        <v>1687623</v>
      </c>
      <c r="F405">
        <v>349998.02</v>
      </c>
      <c r="G405">
        <v>342234477</v>
      </c>
      <c r="H405" t="s">
        <v>81</v>
      </c>
      <c r="I405" t="s">
        <v>103</v>
      </c>
      <c r="J405">
        <v>342234.47700000001</v>
      </c>
    </row>
    <row r="406" spans="1:10" x14ac:dyDescent="0.25">
      <c r="A406">
        <v>27</v>
      </c>
      <c r="B406" t="s">
        <v>62</v>
      </c>
      <c r="C406">
        <v>1319219</v>
      </c>
      <c r="D406">
        <v>87.873333333333335</v>
      </c>
      <c r="E406">
        <v>11130420</v>
      </c>
      <c r="F406">
        <v>2222326</v>
      </c>
      <c r="G406">
        <v>1719523213</v>
      </c>
      <c r="H406" t="s">
        <v>81</v>
      </c>
      <c r="I406" t="s">
        <v>103</v>
      </c>
      <c r="J406">
        <v>1719523.213</v>
      </c>
    </row>
    <row r="407" spans="1:10" x14ac:dyDescent="0.25">
      <c r="A407">
        <v>27</v>
      </c>
      <c r="B407" t="s">
        <v>68</v>
      </c>
      <c r="C407">
        <v>35547</v>
      </c>
      <c r="D407">
        <v>88.196666666666673</v>
      </c>
      <c r="E407">
        <v>417534</v>
      </c>
      <c r="F407">
        <v>94979.33</v>
      </c>
      <c r="G407">
        <v>84158764</v>
      </c>
      <c r="H407" t="s">
        <v>81</v>
      </c>
      <c r="I407" t="s">
        <v>103</v>
      </c>
      <c r="J407">
        <v>84158.763999999996</v>
      </c>
    </row>
    <row r="408" spans="1:10" x14ac:dyDescent="0.25">
      <c r="A408">
        <v>27</v>
      </c>
      <c r="B408" t="s">
        <v>67</v>
      </c>
      <c r="C408">
        <v>102823</v>
      </c>
      <c r="D408">
        <v>84.486666666666665</v>
      </c>
      <c r="E408">
        <v>574841</v>
      </c>
      <c r="F408">
        <v>157218.97</v>
      </c>
      <c r="G408">
        <v>115893112</v>
      </c>
      <c r="H408" t="s">
        <v>81</v>
      </c>
      <c r="I408" t="s">
        <v>103</v>
      </c>
      <c r="J408">
        <v>115893.11199999999</v>
      </c>
    </row>
    <row r="409" spans="1:10" x14ac:dyDescent="0.25">
      <c r="A409">
        <v>27</v>
      </c>
      <c r="B409" t="s">
        <v>63</v>
      </c>
      <c r="C409">
        <v>4775505</v>
      </c>
      <c r="D409">
        <v>87.64</v>
      </c>
      <c r="E409">
        <v>10305905</v>
      </c>
      <c r="F409">
        <v>1899591.2200000002</v>
      </c>
      <c r="G409">
        <v>1402038489</v>
      </c>
      <c r="H409" t="s">
        <v>81</v>
      </c>
      <c r="I409" t="s">
        <v>103</v>
      </c>
      <c r="J409">
        <v>1402038.4890000001</v>
      </c>
    </row>
    <row r="410" spans="1:10" x14ac:dyDescent="0.25">
      <c r="A410">
        <v>27</v>
      </c>
      <c r="B410" t="s">
        <v>64</v>
      </c>
      <c r="C410">
        <v>584354</v>
      </c>
      <c r="D410">
        <v>85.303333333333327</v>
      </c>
      <c r="E410">
        <v>5317924</v>
      </c>
      <c r="F410">
        <v>1224900</v>
      </c>
      <c r="G410">
        <v>889476837</v>
      </c>
      <c r="H410" t="s">
        <v>81</v>
      </c>
      <c r="I410" t="s">
        <v>103</v>
      </c>
      <c r="J410">
        <v>889476.83700000006</v>
      </c>
    </row>
    <row r="411" spans="1:10" x14ac:dyDescent="0.25">
      <c r="A411">
        <v>28</v>
      </c>
      <c r="B411" t="s">
        <v>66</v>
      </c>
      <c r="C411">
        <v>186933</v>
      </c>
      <c r="D411">
        <v>83.066666666666663</v>
      </c>
      <c r="E411">
        <v>1376432</v>
      </c>
      <c r="F411">
        <v>258046</v>
      </c>
      <c r="G411">
        <v>185059411</v>
      </c>
      <c r="H411" t="s">
        <v>81</v>
      </c>
      <c r="I411" t="s">
        <v>103</v>
      </c>
      <c r="J411">
        <v>185059.41099999999</v>
      </c>
    </row>
    <row r="412" spans="1:10" x14ac:dyDescent="0.25">
      <c r="A412">
        <v>28</v>
      </c>
      <c r="B412" t="s">
        <v>62</v>
      </c>
      <c r="C412">
        <v>987477</v>
      </c>
      <c r="D412">
        <v>87.33</v>
      </c>
      <c r="E412">
        <v>9549581</v>
      </c>
      <c r="F412">
        <v>1721657</v>
      </c>
      <c r="G412">
        <v>1524080755</v>
      </c>
      <c r="H412" t="s">
        <v>81</v>
      </c>
      <c r="I412" t="s">
        <v>103</v>
      </c>
      <c r="J412">
        <v>1524080.7549999999</v>
      </c>
    </row>
    <row r="413" spans="1:10" x14ac:dyDescent="0.25">
      <c r="A413">
        <v>28</v>
      </c>
      <c r="B413" t="s">
        <v>65</v>
      </c>
      <c r="C413">
        <v>190007</v>
      </c>
      <c r="D413">
        <v>84.14</v>
      </c>
      <c r="E413">
        <v>1593496</v>
      </c>
      <c r="F413">
        <v>322799.28999999998</v>
      </c>
      <c r="G413">
        <v>299377467</v>
      </c>
      <c r="H413" t="s">
        <v>81</v>
      </c>
      <c r="I413" t="s">
        <v>103</v>
      </c>
      <c r="J413">
        <v>299377.467</v>
      </c>
    </row>
    <row r="414" spans="1:10" x14ac:dyDescent="0.25">
      <c r="A414">
        <v>28</v>
      </c>
      <c r="B414" t="s">
        <v>68</v>
      </c>
      <c r="C414">
        <v>19445</v>
      </c>
      <c r="D414">
        <v>88.036666666666676</v>
      </c>
      <c r="E414">
        <v>404132</v>
      </c>
      <c r="F414">
        <v>39802.76</v>
      </c>
      <c r="G414">
        <v>70306431</v>
      </c>
      <c r="H414" t="s">
        <v>81</v>
      </c>
      <c r="I414" t="s">
        <v>103</v>
      </c>
      <c r="J414">
        <v>70306.430999999997</v>
      </c>
    </row>
    <row r="415" spans="1:10" x14ac:dyDescent="0.25">
      <c r="A415">
        <v>28</v>
      </c>
      <c r="B415" t="s">
        <v>67</v>
      </c>
      <c r="C415">
        <v>78781</v>
      </c>
      <c r="D415">
        <v>82.673333333333332</v>
      </c>
      <c r="E415">
        <v>519846</v>
      </c>
      <c r="F415">
        <v>120336.92000000001</v>
      </c>
      <c r="G415">
        <v>105215216</v>
      </c>
      <c r="H415" t="s">
        <v>81</v>
      </c>
      <c r="I415" t="s">
        <v>103</v>
      </c>
      <c r="J415">
        <v>105215.216</v>
      </c>
    </row>
    <row r="416" spans="1:10" x14ac:dyDescent="0.25">
      <c r="A416">
        <v>28</v>
      </c>
      <c r="B416" t="s">
        <v>63</v>
      </c>
      <c r="C416">
        <v>823605</v>
      </c>
      <c r="D416">
        <v>86.05</v>
      </c>
      <c r="E416">
        <v>9036289</v>
      </c>
      <c r="F416">
        <v>1081373.6499999999</v>
      </c>
      <c r="G416">
        <v>1108565113</v>
      </c>
      <c r="H416" t="s">
        <v>81</v>
      </c>
      <c r="I416" t="s">
        <v>103</v>
      </c>
      <c r="J416">
        <v>1108565.1129999999</v>
      </c>
    </row>
    <row r="417" spans="1:10" x14ac:dyDescent="0.25">
      <c r="A417">
        <v>28</v>
      </c>
      <c r="B417" t="s">
        <v>64</v>
      </c>
      <c r="C417">
        <v>535958</v>
      </c>
      <c r="D417">
        <v>84.23</v>
      </c>
      <c r="E417">
        <v>4977318</v>
      </c>
      <c r="F417">
        <v>1026205</v>
      </c>
      <c r="G417">
        <v>753795995</v>
      </c>
      <c r="H417" t="s">
        <v>81</v>
      </c>
      <c r="I417" t="s">
        <v>103</v>
      </c>
      <c r="J417">
        <v>753795.995</v>
      </c>
    </row>
    <row r="418" spans="1:10" x14ac:dyDescent="0.25">
      <c r="A418">
        <v>29</v>
      </c>
      <c r="B418" t="s">
        <v>66</v>
      </c>
      <c r="C418">
        <v>185275</v>
      </c>
      <c r="D418">
        <v>82.573333333333338</v>
      </c>
      <c r="E418">
        <v>1345762</v>
      </c>
      <c r="F418">
        <v>298847</v>
      </c>
      <c r="G418">
        <v>139669839</v>
      </c>
      <c r="H418" t="s">
        <v>81</v>
      </c>
      <c r="I418" t="s">
        <v>103</v>
      </c>
      <c r="J418">
        <v>139669.83900000001</v>
      </c>
    </row>
    <row r="419" spans="1:10" x14ac:dyDescent="0.25">
      <c r="A419">
        <v>29</v>
      </c>
      <c r="B419" t="s">
        <v>65</v>
      </c>
      <c r="C419">
        <v>199459</v>
      </c>
      <c r="D419">
        <v>84.346666666666664</v>
      </c>
      <c r="E419">
        <v>1616361</v>
      </c>
      <c r="F419">
        <v>348927.07</v>
      </c>
      <c r="G419">
        <v>214814269</v>
      </c>
      <c r="H419" t="s">
        <v>81</v>
      </c>
      <c r="I419" t="s">
        <v>103</v>
      </c>
      <c r="J419">
        <v>214814.269</v>
      </c>
    </row>
    <row r="420" spans="1:10" x14ac:dyDescent="0.25">
      <c r="A420">
        <v>29</v>
      </c>
      <c r="B420" t="s">
        <v>62</v>
      </c>
      <c r="C420">
        <v>955182</v>
      </c>
      <c r="D420">
        <v>84.14</v>
      </c>
      <c r="E420">
        <v>9295664</v>
      </c>
      <c r="F420">
        <v>1544323</v>
      </c>
      <c r="G420">
        <v>1071999368</v>
      </c>
      <c r="H420" t="s">
        <v>81</v>
      </c>
      <c r="I420" t="s">
        <v>103</v>
      </c>
      <c r="J420">
        <v>1071999.368</v>
      </c>
    </row>
    <row r="421" spans="1:10" x14ac:dyDescent="0.25">
      <c r="A421">
        <v>29</v>
      </c>
      <c r="B421" t="s">
        <v>68</v>
      </c>
      <c r="C421">
        <v>38530</v>
      </c>
      <c r="D421">
        <v>87.813333333333333</v>
      </c>
      <c r="E421">
        <v>368125</v>
      </c>
      <c r="F421">
        <v>62179.08</v>
      </c>
      <c r="G421">
        <v>49038043</v>
      </c>
      <c r="H421" t="s">
        <v>81</v>
      </c>
      <c r="I421" t="s">
        <v>103</v>
      </c>
      <c r="J421">
        <v>49038.042999999998</v>
      </c>
    </row>
    <row r="422" spans="1:10" x14ac:dyDescent="0.25">
      <c r="A422">
        <v>29</v>
      </c>
      <c r="B422" t="s">
        <v>67</v>
      </c>
      <c r="C422">
        <v>61920</v>
      </c>
      <c r="D422">
        <v>84.963333333333338</v>
      </c>
      <c r="E422">
        <v>538143</v>
      </c>
      <c r="F422">
        <v>101299.4</v>
      </c>
      <c r="G422">
        <v>85980529</v>
      </c>
      <c r="H422" t="s">
        <v>81</v>
      </c>
      <c r="I422" t="s">
        <v>103</v>
      </c>
      <c r="J422">
        <v>85980.528999999995</v>
      </c>
    </row>
    <row r="423" spans="1:10" x14ac:dyDescent="0.25">
      <c r="A423">
        <v>29</v>
      </c>
      <c r="B423" t="s">
        <v>64</v>
      </c>
      <c r="C423">
        <v>511338</v>
      </c>
      <c r="D423">
        <v>80.373333333333335</v>
      </c>
      <c r="E423">
        <v>4826319</v>
      </c>
      <c r="F423">
        <v>943814</v>
      </c>
      <c r="G423">
        <v>814708672</v>
      </c>
      <c r="H423" t="s">
        <v>81</v>
      </c>
      <c r="I423" t="s">
        <v>103</v>
      </c>
      <c r="J423">
        <v>814708.67200000002</v>
      </c>
    </row>
    <row r="424" spans="1:10" x14ac:dyDescent="0.25">
      <c r="A424">
        <v>30</v>
      </c>
      <c r="B424" t="s">
        <v>66</v>
      </c>
      <c r="C424">
        <v>263872</v>
      </c>
      <c r="D424">
        <v>85.733333333333334</v>
      </c>
      <c r="E424">
        <v>1493283</v>
      </c>
      <c r="F424">
        <v>417763</v>
      </c>
      <c r="G424">
        <v>175168136</v>
      </c>
      <c r="H424" t="s">
        <v>81</v>
      </c>
      <c r="I424" t="s">
        <v>103</v>
      </c>
      <c r="J424">
        <v>175168.136</v>
      </c>
    </row>
    <row r="425" spans="1:10" x14ac:dyDescent="0.25">
      <c r="A425">
        <v>30</v>
      </c>
      <c r="B425" t="s">
        <v>65</v>
      </c>
      <c r="C425">
        <v>180169</v>
      </c>
      <c r="D425">
        <v>85.553333333333342</v>
      </c>
      <c r="E425">
        <v>1643409</v>
      </c>
      <c r="F425">
        <v>310026.98</v>
      </c>
      <c r="G425">
        <v>274132304</v>
      </c>
      <c r="H425" t="s">
        <v>81</v>
      </c>
      <c r="I425" t="s">
        <v>103</v>
      </c>
      <c r="J425">
        <v>274132.304</v>
      </c>
    </row>
    <row r="426" spans="1:10" x14ac:dyDescent="0.25">
      <c r="A426">
        <v>34</v>
      </c>
      <c r="B426" t="s">
        <v>63</v>
      </c>
      <c r="C426">
        <v>818180</v>
      </c>
      <c r="D426">
        <v>87.710000000000008</v>
      </c>
      <c r="E426">
        <v>9999723</v>
      </c>
      <c r="F426">
        <v>1399762.15</v>
      </c>
      <c r="G426">
        <v>1328803334</v>
      </c>
      <c r="H426" t="s">
        <v>81</v>
      </c>
      <c r="I426" t="s">
        <v>103</v>
      </c>
      <c r="J426">
        <v>1328803.334</v>
      </c>
    </row>
    <row r="427" spans="1:10" x14ac:dyDescent="0.25">
      <c r="A427">
        <v>30</v>
      </c>
      <c r="B427" t="s">
        <v>62</v>
      </c>
      <c r="C427">
        <v>1552513</v>
      </c>
      <c r="D427">
        <v>87.58</v>
      </c>
      <c r="E427">
        <v>10502902</v>
      </c>
      <c r="F427">
        <v>2423691</v>
      </c>
      <c r="G427">
        <v>1845114616</v>
      </c>
      <c r="H427" t="s">
        <v>81</v>
      </c>
      <c r="I427" t="s">
        <v>103</v>
      </c>
      <c r="J427">
        <v>1845114.6159999999</v>
      </c>
    </row>
    <row r="428" spans="1:10" x14ac:dyDescent="0.25">
      <c r="A428">
        <v>30</v>
      </c>
      <c r="B428" t="s">
        <v>68</v>
      </c>
      <c r="C428">
        <v>52423</v>
      </c>
      <c r="D428">
        <v>87.563333333333333</v>
      </c>
      <c r="E428">
        <v>420351</v>
      </c>
      <c r="F428">
        <v>83986.15</v>
      </c>
      <c r="G428">
        <v>66737695</v>
      </c>
      <c r="H428" t="s">
        <v>81</v>
      </c>
      <c r="I428" t="s">
        <v>103</v>
      </c>
      <c r="J428">
        <v>66737.695000000007</v>
      </c>
    </row>
    <row r="429" spans="1:10" x14ac:dyDescent="0.25">
      <c r="A429">
        <v>30</v>
      </c>
      <c r="B429" t="s">
        <v>63</v>
      </c>
      <c r="C429">
        <v>588122</v>
      </c>
      <c r="D429">
        <v>86.806666666666672</v>
      </c>
      <c r="E429">
        <v>9395665</v>
      </c>
      <c r="F429">
        <v>1060392.6299999999</v>
      </c>
      <c r="G429">
        <v>1102857659</v>
      </c>
      <c r="H429" t="s">
        <v>81</v>
      </c>
      <c r="I429" t="s">
        <v>103</v>
      </c>
      <c r="J429">
        <v>1102857.659</v>
      </c>
    </row>
    <row r="430" spans="1:10" x14ac:dyDescent="0.25">
      <c r="A430">
        <v>30</v>
      </c>
      <c r="B430" t="s">
        <v>67</v>
      </c>
      <c r="C430">
        <v>73084</v>
      </c>
      <c r="D430">
        <v>85.84</v>
      </c>
      <c r="E430">
        <v>584133</v>
      </c>
      <c r="F430">
        <v>121834.90999999999</v>
      </c>
      <c r="G430">
        <v>113191663</v>
      </c>
      <c r="H430" t="s">
        <v>81</v>
      </c>
      <c r="I430" t="s">
        <v>103</v>
      </c>
      <c r="J430">
        <v>113191.663</v>
      </c>
    </row>
    <row r="431" spans="1:10" x14ac:dyDescent="0.25">
      <c r="A431">
        <v>30</v>
      </c>
      <c r="B431" t="s">
        <v>64</v>
      </c>
      <c r="C431">
        <v>820063</v>
      </c>
      <c r="D431">
        <v>85.67</v>
      </c>
      <c r="E431">
        <v>5384150</v>
      </c>
      <c r="F431">
        <v>1275954</v>
      </c>
      <c r="G431">
        <v>858911846</v>
      </c>
      <c r="H431" t="s">
        <v>81</v>
      </c>
      <c r="I431" t="s">
        <v>103</v>
      </c>
      <c r="J431">
        <v>858911.84600000002</v>
      </c>
    </row>
    <row r="432" spans="1:10" x14ac:dyDescent="0.25">
      <c r="A432">
        <v>31</v>
      </c>
      <c r="B432" t="s">
        <v>62</v>
      </c>
      <c r="C432">
        <v>1269304</v>
      </c>
      <c r="D432">
        <v>85.94</v>
      </c>
      <c r="E432">
        <v>10539944</v>
      </c>
      <c r="F432">
        <v>1979077</v>
      </c>
      <c r="G432">
        <v>1399169071</v>
      </c>
      <c r="H432" t="s">
        <v>81</v>
      </c>
      <c r="I432" t="s">
        <v>103</v>
      </c>
      <c r="J432">
        <v>1399169.071</v>
      </c>
    </row>
    <row r="433" spans="1:10" x14ac:dyDescent="0.25">
      <c r="A433">
        <v>31</v>
      </c>
      <c r="B433" t="s">
        <v>66</v>
      </c>
      <c r="C433">
        <v>265253</v>
      </c>
      <c r="D433">
        <v>86.356666666666669</v>
      </c>
      <c r="E433">
        <v>1565294</v>
      </c>
      <c r="F433">
        <v>422644</v>
      </c>
      <c r="G433">
        <v>183956998</v>
      </c>
      <c r="H433" t="s">
        <v>81</v>
      </c>
      <c r="I433" t="s">
        <v>103</v>
      </c>
      <c r="J433">
        <v>183956.99799999999</v>
      </c>
    </row>
    <row r="434" spans="1:10" x14ac:dyDescent="0.25">
      <c r="A434">
        <v>31</v>
      </c>
      <c r="B434" t="s">
        <v>65</v>
      </c>
      <c r="C434">
        <v>198980</v>
      </c>
      <c r="D434">
        <v>86.256666666666661</v>
      </c>
      <c r="E434">
        <v>1731713</v>
      </c>
      <c r="F434">
        <v>354436.89</v>
      </c>
      <c r="G434">
        <v>293095566</v>
      </c>
      <c r="H434" t="s">
        <v>81</v>
      </c>
      <c r="I434" t="s">
        <v>103</v>
      </c>
      <c r="J434">
        <v>293095.56599999999</v>
      </c>
    </row>
    <row r="435" spans="1:10" x14ac:dyDescent="0.25">
      <c r="A435">
        <v>34</v>
      </c>
      <c r="B435" t="s">
        <v>62</v>
      </c>
      <c r="C435">
        <v>1235513</v>
      </c>
      <c r="D435">
        <v>88.176666666666662</v>
      </c>
      <c r="E435">
        <v>10854712</v>
      </c>
      <c r="F435">
        <v>2036048</v>
      </c>
      <c r="G435">
        <v>1500167625</v>
      </c>
      <c r="H435" t="s">
        <v>81</v>
      </c>
      <c r="I435" t="s">
        <v>103</v>
      </c>
      <c r="J435">
        <v>1500167.625</v>
      </c>
    </row>
    <row r="436" spans="1:10" x14ac:dyDescent="0.25">
      <c r="A436">
        <v>31</v>
      </c>
      <c r="B436" t="s">
        <v>68</v>
      </c>
      <c r="C436">
        <v>78945</v>
      </c>
      <c r="D436">
        <v>88.213333333333324</v>
      </c>
      <c r="E436">
        <v>490626</v>
      </c>
      <c r="F436">
        <v>125527.89</v>
      </c>
      <c r="G436">
        <v>80300664</v>
      </c>
      <c r="H436" t="s">
        <v>81</v>
      </c>
      <c r="I436" t="s">
        <v>103</v>
      </c>
      <c r="J436">
        <v>80300.664000000004</v>
      </c>
    </row>
    <row r="437" spans="1:10" x14ac:dyDescent="0.25">
      <c r="A437">
        <v>35</v>
      </c>
      <c r="B437" t="s">
        <v>62</v>
      </c>
      <c r="C437">
        <v>1191398</v>
      </c>
      <c r="D437">
        <v>87.13000000000001</v>
      </c>
      <c r="E437">
        <v>11125371</v>
      </c>
      <c r="F437">
        <v>1847431</v>
      </c>
      <c r="G437">
        <v>1592958007</v>
      </c>
      <c r="H437" t="s">
        <v>81</v>
      </c>
      <c r="I437" t="s">
        <v>103</v>
      </c>
      <c r="J437">
        <v>1592958.007</v>
      </c>
    </row>
    <row r="438" spans="1:10" x14ac:dyDescent="0.25">
      <c r="A438">
        <v>31</v>
      </c>
      <c r="B438" t="s">
        <v>67</v>
      </c>
      <c r="C438">
        <v>81382</v>
      </c>
      <c r="D438">
        <v>86.02</v>
      </c>
      <c r="E438">
        <v>621329</v>
      </c>
      <c r="F438">
        <v>135215.95000000001</v>
      </c>
      <c r="G438">
        <v>121843860</v>
      </c>
      <c r="H438" t="s">
        <v>81</v>
      </c>
      <c r="I438" t="s">
        <v>103</v>
      </c>
      <c r="J438">
        <v>121843.86</v>
      </c>
    </row>
    <row r="439" spans="1:10" x14ac:dyDescent="0.25">
      <c r="A439">
        <v>31</v>
      </c>
      <c r="B439" t="s">
        <v>63</v>
      </c>
      <c r="C439">
        <v>965010</v>
      </c>
      <c r="D439">
        <v>86.83</v>
      </c>
      <c r="E439">
        <v>9913185</v>
      </c>
      <c r="F439">
        <v>1624684.28</v>
      </c>
      <c r="G439">
        <v>1242323709</v>
      </c>
      <c r="H439" t="s">
        <v>81</v>
      </c>
      <c r="I439" t="s">
        <v>103</v>
      </c>
      <c r="J439">
        <v>1242323.709</v>
      </c>
    </row>
    <row r="440" spans="1:10" x14ac:dyDescent="0.25">
      <c r="A440">
        <v>31</v>
      </c>
      <c r="B440" t="s">
        <v>64</v>
      </c>
      <c r="C440">
        <v>388246</v>
      </c>
      <c r="D440">
        <v>85.303333333333327</v>
      </c>
      <c r="E440">
        <v>5139071</v>
      </c>
      <c r="F440">
        <v>694433</v>
      </c>
      <c r="G440">
        <v>898343029</v>
      </c>
      <c r="H440" t="s">
        <v>81</v>
      </c>
      <c r="I440" t="s">
        <v>103</v>
      </c>
      <c r="J440">
        <v>898343.02899999998</v>
      </c>
    </row>
    <row r="441" spans="1:10" x14ac:dyDescent="0.25">
      <c r="A441">
        <v>34</v>
      </c>
      <c r="B441" t="s">
        <v>66</v>
      </c>
      <c r="C441">
        <v>273678</v>
      </c>
      <c r="D441">
        <v>87.62</v>
      </c>
      <c r="E441">
        <v>1665297</v>
      </c>
      <c r="F441">
        <v>463667</v>
      </c>
      <c r="G441">
        <v>215660250</v>
      </c>
      <c r="H441" t="s">
        <v>81</v>
      </c>
      <c r="I441" t="s">
        <v>103</v>
      </c>
      <c r="J441">
        <v>215660.25</v>
      </c>
    </row>
    <row r="442" spans="1:10" x14ac:dyDescent="0.25">
      <c r="A442">
        <v>34</v>
      </c>
      <c r="B442" t="s">
        <v>65</v>
      </c>
      <c r="C442">
        <v>210805</v>
      </c>
      <c r="D442">
        <v>85.543333333333337</v>
      </c>
      <c r="E442">
        <v>1842498</v>
      </c>
      <c r="F442">
        <v>354018.68</v>
      </c>
      <c r="G442">
        <v>325045521</v>
      </c>
      <c r="H442" t="s">
        <v>81</v>
      </c>
      <c r="I442" t="s">
        <v>103</v>
      </c>
      <c r="J442">
        <v>325045.52100000001</v>
      </c>
    </row>
    <row r="443" spans="1:10" x14ac:dyDescent="0.25">
      <c r="A443">
        <v>34</v>
      </c>
      <c r="B443" t="s">
        <v>68</v>
      </c>
      <c r="C443">
        <v>70019</v>
      </c>
      <c r="D443">
        <v>87.536666666666676</v>
      </c>
      <c r="E443">
        <v>506579</v>
      </c>
      <c r="F443">
        <v>110120.18999999999</v>
      </c>
      <c r="G443">
        <v>86457381</v>
      </c>
      <c r="H443" t="s">
        <v>81</v>
      </c>
      <c r="I443" t="s">
        <v>103</v>
      </c>
      <c r="J443">
        <v>86457.380999999994</v>
      </c>
    </row>
    <row r="444" spans="1:10" x14ac:dyDescent="0.25">
      <c r="A444">
        <v>34</v>
      </c>
      <c r="B444" t="s">
        <v>67</v>
      </c>
      <c r="C444">
        <v>94209</v>
      </c>
      <c r="D444">
        <v>85.74666666666667</v>
      </c>
      <c r="E444">
        <v>700389</v>
      </c>
      <c r="F444">
        <v>131442.64000000001</v>
      </c>
      <c r="G444">
        <v>142293947</v>
      </c>
      <c r="H444" t="s">
        <v>81</v>
      </c>
      <c r="I444" t="s">
        <v>103</v>
      </c>
      <c r="J444">
        <v>142293.94699999999</v>
      </c>
    </row>
    <row r="445" spans="1:10" x14ac:dyDescent="0.25">
      <c r="A445">
        <v>34</v>
      </c>
      <c r="B445" t="s">
        <v>64</v>
      </c>
      <c r="C445">
        <v>746032</v>
      </c>
      <c r="D445">
        <v>85.713333333333338</v>
      </c>
      <c r="E445">
        <v>5743938</v>
      </c>
      <c r="F445">
        <v>1249863</v>
      </c>
      <c r="G445">
        <v>942830776</v>
      </c>
      <c r="H445" t="s">
        <v>81</v>
      </c>
      <c r="I445" t="s">
        <v>103</v>
      </c>
      <c r="J445">
        <v>942830.77599999995</v>
      </c>
    </row>
    <row r="446" spans="1:10" x14ac:dyDescent="0.25">
      <c r="A446">
        <v>35</v>
      </c>
      <c r="B446" t="s">
        <v>66</v>
      </c>
      <c r="C446">
        <v>251732</v>
      </c>
      <c r="D446">
        <v>86.38333333333334</v>
      </c>
      <c r="E446">
        <v>1693104</v>
      </c>
      <c r="F446">
        <v>420921</v>
      </c>
      <c r="G446">
        <v>231037212</v>
      </c>
      <c r="H446" t="s">
        <v>81</v>
      </c>
      <c r="I446" t="s">
        <v>103</v>
      </c>
      <c r="J446">
        <v>231037.212</v>
      </c>
    </row>
    <row r="447" spans="1:10" x14ac:dyDescent="0.25">
      <c r="A447">
        <v>35</v>
      </c>
      <c r="B447" t="s">
        <v>65</v>
      </c>
      <c r="C447">
        <v>178785</v>
      </c>
      <c r="D447">
        <v>84.593333333333334</v>
      </c>
      <c r="E447">
        <v>1812728</v>
      </c>
      <c r="F447">
        <v>302364.98</v>
      </c>
      <c r="G447">
        <v>346903291</v>
      </c>
      <c r="H447" t="s">
        <v>81</v>
      </c>
      <c r="I447" t="s">
        <v>103</v>
      </c>
      <c r="J447">
        <v>346903.29100000003</v>
      </c>
    </row>
    <row r="448" spans="1:10" x14ac:dyDescent="0.25">
      <c r="A448">
        <v>35</v>
      </c>
      <c r="B448" t="s">
        <v>68</v>
      </c>
      <c r="C448">
        <v>66331</v>
      </c>
      <c r="D448">
        <v>85.486666666666665</v>
      </c>
      <c r="E448">
        <v>486947</v>
      </c>
      <c r="F448">
        <v>103680.87</v>
      </c>
      <c r="G448">
        <v>99296945</v>
      </c>
      <c r="H448" t="s">
        <v>81</v>
      </c>
      <c r="I448" t="s">
        <v>103</v>
      </c>
      <c r="J448">
        <v>99296.945000000007</v>
      </c>
    </row>
    <row r="449" spans="1:10" x14ac:dyDescent="0.25">
      <c r="A449">
        <v>35</v>
      </c>
      <c r="B449" t="s">
        <v>67</v>
      </c>
      <c r="C449">
        <v>60190</v>
      </c>
      <c r="D449">
        <v>83.626666666666665</v>
      </c>
      <c r="E449">
        <v>687231</v>
      </c>
      <c r="F449">
        <v>104103.40999999999</v>
      </c>
      <c r="G449">
        <v>158300187</v>
      </c>
      <c r="H449" t="s">
        <v>81</v>
      </c>
      <c r="I449" t="s">
        <v>103</v>
      </c>
      <c r="J449">
        <v>158300.18700000001</v>
      </c>
    </row>
    <row r="450" spans="1:10" x14ac:dyDescent="0.25">
      <c r="A450">
        <v>35</v>
      </c>
      <c r="B450" t="s">
        <v>63</v>
      </c>
      <c r="C450">
        <v>637510</v>
      </c>
      <c r="D450">
        <v>85.91</v>
      </c>
      <c r="E450">
        <v>9877966</v>
      </c>
      <c r="F450">
        <v>1092645.26</v>
      </c>
      <c r="G450">
        <v>1443132558</v>
      </c>
      <c r="H450" t="s">
        <v>81</v>
      </c>
      <c r="I450" t="s">
        <v>103</v>
      </c>
      <c r="J450">
        <v>1443132.558</v>
      </c>
    </row>
    <row r="451" spans="1:10" x14ac:dyDescent="0.25">
      <c r="A451">
        <v>35</v>
      </c>
      <c r="B451" t="s">
        <v>64</v>
      </c>
      <c r="C451">
        <v>502605</v>
      </c>
      <c r="D451">
        <v>84.71</v>
      </c>
      <c r="E451">
        <v>5270666</v>
      </c>
      <c r="F451">
        <v>834103</v>
      </c>
      <c r="G451">
        <v>950297435</v>
      </c>
      <c r="H451" t="s">
        <v>81</v>
      </c>
      <c r="I451" t="s">
        <v>103</v>
      </c>
      <c r="J451">
        <v>950297.43500000006</v>
      </c>
    </row>
    <row r="452" spans="1:10" x14ac:dyDescent="0.25">
      <c r="A452">
        <v>10</v>
      </c>
      <c r="B452" t="s">
        <v>4</v>
      </c>
      <c r="C452">
        <v>-284356</v>
      </c>
      <c r="D452">
        <v>85.89</v>
      </c>
      <c r="E452">
        <v>6108540</v>
      </c>
      <c r="F452">
        <v>-116484</v>
      </c>
      <c r="G452">
        <v>1895494511</v>
      </c>
      <c r="H452" t="s">
        <v>81</v>
      </c>
      <c r="I452" t="s">
        <v>106</v>
      </c>
      <c r="J452">
        <v>1895494.5109999999</v>
      </c>
    </row>
    <row r="453" spans="1:10" x14ac:dyDescent="0.25">
      <c r="A453">
        <v>13</v>
      </c>
      <c r="B453" t="s">
        <v>4</v>
      </c>
      <c r="C453">
        <v>-1676208</v>
      </c>
      <c r="D453">
        <v>80.430000000000007</v>
      </c>
      <c r="E453">
        <v>6031446</v>
      </c>
      <c r="F453">
        <v>-101073</v>
      </c>
      <c r="G453">
        <v>1865086721</v>
      </c>
      <c r="H453" t="s">
        <v>81</v>
      </c>
      <c r="I453" t="s">
        <v>106</v>
      </c>
      <c r="J453">
        <v>1865086.7209999999</v>
      </c>
    </row>
    <row r="454" spans="1:10" x14ac:dyDescent="0.25">
      <c r="A454">
        <v>19</v>
      </c>
      <c r="B454" t="s">
        <v>4</v>
      </c>
      <c r="C454">
        <v>289839</v>
      </c>
      <c r="D454">
        <v>85.27</v>
      </c>
      <c r="E454">
        <v>6816608</v>
      </c>
      <c r="F454">
        <v>682591</v>
      </c>
      <c r="G454">
        <v>1894669053</v>
      </c>
      <c r="H454" t="s">
        <v>81</v>
      </c>
      <c r="I454" t="s">
        <v>106</v>
      </c>
      <c r="J454">
        <v>1894669.0530000001</v>
      </c>
    </row>
    <row r="455" spans="1:10" x14ac:dyDescent="0.25">
      <c r="A455">
        <v>21</v>
      </c>
      <c r="B455" t="s">
        <v>4</v>
      </c>
      <c r="C455">
        <v>400689</v>
      </c>
      <c r="D455">
        <v>82.97</v>
      </c>
      <c r="E455">
        <v>6468962</v>
      </c>
      <c r="F455">
        <v>577408</v>
      </c>
      <c r="G455">
        <v>1820965998</v>
      </c>
      <c r="H455" t="s">
        <v>81</v>
      </c>
      <c r="I455" t="s">
        <v>106</v>
      </c>
      <c r="J455">
        <v>1820965.9979999999</v>
      </c>
    </row>
    <row r="456" spans="1:10" x14ac:dyDescent="0.25">
      <c r="A456">
        <v>22</v>
      </c>
      <c r="B456" t="s">
        <v>4</v>
      </c>
      <c r="C456">
        <v>265411</v>
      </c>
      <c r="D456">
        <v>87.713333333333338</v>
      </c>
      <c r="E456">
        <v>7152840</v>
      </c>
      <c r="F456">
        <v>718119</v>
      </c>
      <c r="G456">
        <v>1848515831</v>
      </c>
      <c r="H456" t="s">
        <v>81</v>
      </c>
      <c r="I456" t="s">
        <v>106</v>
      </c>
      <c r="J456">
        <v>1848515.831</v>
      </c>
    </row>
    <row r="457" spans="1:10" x14ac:dyDescent="0.25">
      <c r="A457">
        <v>21</v>
      </c>
      <c r="B457" t="s">
        <v>63</v>
      </c>
      <c r="C457">
        <v>-579988</v>
      </c>
      <c r="D457">
        <v>85.093333333333334</v>
      </c>
      <c r="E457">
        <v>8696283</v>
      </c>
      <c r="F457">
        <v>-340694.86</v>
      </c>
      <c r="G457">
        <v>2253932922</v>
      </c>
      <c r="H457" t="s">
        <v>81</v>
      </c>
      <c r="I457" t="s">
        <v>106</v>
      </c>
      <c r="J457">
        <v>2253932.9219999998</v>
      </c>
    </row>
    <row r="458" spans="1:10" x14ac:dyDescent="0.25">
      <c r="A458">
        <v>54</v>
      </c>
      <c r="B458" t="s">
        <v>4</v>
      </c>
      <c r="C458">
        <v>522137</v>
      </c>
      <c r="D458">
        <v>91.11</v>
      </c>
      <c r="E458">
        <v>13421089</v>
      </c>
      <c r="F458">
        <v>1034485.2000000001</v>
      </c>
      <c r="G458">
        <v>3099591671</v>
      </c>
      <c r="H458" t="s">
        <v>81</v>
      </c>
      <c r="I458" t="s">
        <v>106</v>
      </c>
      <c r="J458">
        <v>3099591.6710000001</v>
      </c>
    </row>
    <row r="459" spans="1:10" x14ac:dyDescent="0.25">
      <c r="A459">
        <v>10</v>
      </c>
      <c r="B459" t="s">
        <v>66</v>
      </c>
      <c r="C459">
        <v>41679</v>
      </c>
      <c r="D459">
        <v>84.73</v>
      </c>
      <c r="E459">
        <v>1108279</v>
      </c>
      <c r="F459">
        <v>132319</v>
      </c>
      <c r="G459">
        <v>321141368</v>
      </c>
      <c r="H459" t="s">
        <v>81</v>
      </c>
      <c r="I459" t="s">
        <v>106</v>
      </c>
      <c r="J459">
        <v>321141.36800000002</v>
      </c>
    </row>
    <row r="460" spans="1:10" x14ac:dyDescent="0.25">
      <c r="A460">
        <v>10</v>
      </c>
      <c r="B460" t="s">
        <v>65</v>
      </c>
      <c r="C460">
        <v>25039</v>
      </c>
      <c r="D460">
        <v>82.016666666666666</v>
      </c>
      <c r="E460">
        <v>1152580</v>
      </c>
      <c r="F460">
        <v>86711.07</v>
      </c>
      <c r="G460">
        <v>439547116</v>
      </c>
      <c r="H460" t="s">
        <v>81</v>
      </c>
      <c r="I460" t="s">
        <v>106</v>
      </c>
      <c r="J460">
        <v>439547.11599999998</v>
      </c>
    </row>
    <row r="461" spans="1:10" x14ac:dyDescent="0.25">
      <c r="A461">
        <v>10</v>
      </c>
      <c r="B461" t="s">
        <v>62</v>
      </c>
      <c r="C461">
        <v>235953</v>
      </c>
      <c r="D461">
        <v>86.490000000000009</v>
      </c>
      <c r="E461">
        <v>9174016</v>
      </c>
      <c r="F461">
        <v>633968</v>
      </c>
      <c r="G461">
        <v>2573873381</v>
      </c>
      <c r="H461" t="s">
        <v>81</v>
      </c>
      <c r="I461" t="s">
        <v>106</v>
      </c>
      <c r="J461">
        <v>2573873.3810000001</v>
      </c>
    </row>
    <row r="462" spans="1:10" x14ac:dyDescent="0.25">
      <c r="A462">
        <v>10</v>
      </c>
      <c r="B462" t="s">
        <v>68</v>
      </c>
      <c r="C462">
        <v>-23509</v>
      </c>
      <c r="D462">
        <v>88.31</v>
      </c>
      <c r="E462">
        <v>454390</v>
      </c>
      <c r="F462">
        <v>-36144.69</v>
      </c>
      <c r="G462">
        <v>187347919</v>
      </c>
      <c r="H462" t="s">
        <v>81</v>
      </c>
      <c r="I462" t="s">
        <v>106</v>
      </c>
      <c r="J462">
        <v>187347.91899999999</v>
      </c>
    </row>
    <row r="463" spans="1:10" x14ac:dyDescent="0.25">
      <c r="A463">
        <v>10</v>
      </c>
      <c r="B463" t="s">
        <v>61</v>
      </c>
      <c r="C463">
        <v>13940</v>
      </c>
      <c r="D463">
        <v>91.966666666666669</v>
      </c>
      <c r="E463">
        <v>190996</v>
      </c>
      <c r="F463">
        <v>14177.08</v>
      </c>
      <c r="G463">
        <v>93449872</v>
      </c>
      <c r="H463" t="s">
        <v>81</v>
      </c>
      <c r="I463" t="s">
        <v>106</v>
      </c>
      <c r="J463">
        <v>93449.872000000003</v>
      </c>
    </row>
    <row r="464" spans="1:10" x14ac:dyDescent="0.25">
      <c r="A464">
        <v>10</v>
      </c>
      <c r="B464" t="s">
        <v>60</v>
      </c>
      <c r="C464">
        <v>-46951</v>
      </c>
      <c r="D464">
        <v>86.806666666666658</v>
      </c>
      <c r="E464">
        <v>395065</v>
      </c>
      <c r="F464">
        <v>-69033.75</v>
      </c>
      <c r="G464">
        <v>130926919</v>
      </c>
      <c r="H464" t="s">
        <v>81</v>
      </c>
      <c r="I464" t="s">
        <v>106</v>
      </c>
      <c r="J464">
        <v>130926.91899999999</v>
      </c>
    </row>
    <row r="465" spans="1:10" x14ac:dyDescent="0.25">
      <c r="A465">
        <v>10</v>
      </c>
      <c r="B465" t="s">
        <v>67</v>
      </c>
      <c r="C465">
        <v>14099</v>
      </c>
      <c r="D465">
        <v>85.963333333333338</v>
      </c>
      <c r="E465">
        <v>275891</v>
      </c>
      <c r="F465">
        <v>34958.589999999997</v>
      </c>
      <c r="G465">
        <v>107322012</v>
      </c>
      <c r="H465" t="s">
        <v>81</v>
      </c>
      <c r="I465" t="s">
        <v>106</v>
      </c>
      <c r="J465">
        <v>107322.012</v>
      </c>
    </row>
    <row r="466" spans="1:10" x14ac:dyDescent="0.25">
      <c r="A466">
        <v>10</v>
      </c>
      <c r="B466" t="s">
        <v>63</v>
      </c>
      <c r="C466">
        <v>281883</v>
      </c>
      <c r="D466">
        <v>87.993333333333339</v>
      </c>
      <c r="E466">
        <v>5570539</v>
      </c>
      <c r="F466">
        <v>440810.61</v>
      </c>
      <c r="G466">
        <v>1559594877</v>
      </c>
      <c r="H466" t="s">
        <v>81</v>
      </c>
      <c r="I466" t="s">
        <v>106</v>
      </c>
      <c r="J466">
        <v>1559594.8770000001</v>
      </c>
    </row>
    <row r="467" spans="1:10" x14ac:dyDescent="0.25">
      <c r="A467">
        <v>10</v>
      </c>
      <c r="B467" t="s">
        <v>64</v>
      </c>
      <c r="C467">
        <v>187604</v>
      </c>
      <c r="D467">
        <v>81.83</v>
      </c>
      <c r="E467">
        <v>3595869</v>
      </c>
      <c r="F467">
        <v>195176</v>
      </c>
      <c r="G467">
        <v>1258326184</v>
      </c>
      <c r="H467" t="s">
        <v>81</v>
      </c>
      <c r="I467" t="s">
        <v>106</v>
      </c>
      <c r="J467">
        <v>1258326.1839999999</v>
      </c>
    </row>
    <row r="468" spans="1:10" x14ac:dyDescent="0.25">
      <c r="A468">
        <v>13</v>
      </c>
      <c r="B468" t="s">
        <v>63</v>
      </c>
      <c r="C468">
        <v>-431097</v>
      </c>
      <c r="D468">
        <v>82.08</v>
      </c>
      <c r="E468">
        <v>8603978</v>
      </c>
      <c r="F468">
        <v>-266536.36</v>
      </c>
      <c r="G468">
        <v>2514589850</v>
      </c>
      <c r="H468" t="s">
        <v>81</v>
      </c>
      <c r="I468" t="s">
        <v>106</v>
      </c>
      <c r="J468">
        <v>2514589.85</v>
      </c>
    </row>
    <row r="469" spans="1:10" x14ac:dyDescent="0.25">
      <c r="A469">
        <v>13</v>
      </c>
      <c r="B469" t="s">
        <v>60</v>
      </c>
      <c r="C469">
        <v>10538</v>
      </c>
      <c r="D469">
        <v>86.373333333333335</v>
      </c>
      <c r="E469">
        <v>435555</v>
      </c>
      <c r="F469">
        <v>14172.33</v>
      </c>
      <c r="G469">
        <v>136185331</v>
      </c>
      <c r="H469" t="s">
        <v>81</v>
      </c>
      <c r="I469" t="s">
        <v>106</v>
      </c>
      <c r="J469">
        <v>136185.33100000001</v>
      </c>
    </row>
    <row r="470" spans="1:10" x14ac:dyDescent="0.25">
      <c r="A470">
        <v>13</v>
      </c>
      <c r="B470" t="s">
        <v>66</v>
      </c>
      <c r="C470">
        <v>36770</v>
      </c>
      <c r="D470">
        <v>85.513333333333335</v>
      </c>
      <c r="E470">
        <v>1037359</v>
      </c>
      <c r="F470">
        <v>45005</v>
      </c>
      <c r="G470">
        <v>311702473</v>
      </c>
      <c r="H470" t="s">
        <v>81</v>
      </c>
      <c r="I470" t="s">
        <v>106</v>
      </c>
      <c r="J470">
        <v>311702.473</v>
      </c>
    </row>
    <row r="471" spans="1:10" x14ac:dyDescent="0.25">
      <c r="A471">
        <v>13</v>
      </c>
      <c r="B471" t="s">
        <v>65</v>
      </c>
      <c r="C471">
        <v>29673</v>
      </c>
      <c r="D471">
        <v>83.26</v>
      </c>
      <c r="E471">
        <v>1203470</v>
      </c>
      <c r="F471">
        <v>81354.799999999988</v>
      </c>
      <c r="G471">
        <v>432920962</v>
      </c>
      <c r="H471" t="s">
        <v>81</v>
      </c>
      <c r="I471" t="s">
        <v>106</v>
      </c>
      <c r="J471">
        <v>432920.962</v>
      </c>
    </row>
    <row r="472" spans="1:10" x14ac:dyDescent="0.25">
      <c r="A472">
        <v>13</v>
      </c>
      <c r="B472" t="s">
        <v>62</v>
      </c>
      <c r="C472">
        <v>145841</v>
      </c>
      <c r="D472">
        <v>83.006666666666661</v>
      </c>
      <c r="E472">
        <v>8493286</v>
      </c>
      <c r="F472">
        <v>381641</v>
      </c>
      <c r="G472">
        <v>2324388251</v>
      </c>
      <c r="H472" t="s">
        <v>81</v>
      </c>
      <c r="I472" t="s">
        <v>106</v>
      </c>
      <c r="J472">
        <v>2324388.2510000002</v>
      </c>
    </row>
    <row r="473" spans="1:10" x14ac:dyDescent="0.25">
      <c r="A473">
        <v>13</v>
      </c>
      <c r="B473" t="s">
        <v>68</v>
      </c>
      <c r="C473">
        <v>-13461</v>
      </c>
      <c r="D473">
        <v>84.876666666666665</v>
      </c>
      <c r="E473">
        <v>342332</v>
      </c>
      <c r="F473">
        <v>-20041.419999999998</v>
      </c>
      <c r="G473">
        <v>128257485</v>
      </c>
      <c r="H473" t="s">
        <v>81</v>
      </c>
      <c r="I473" t="s">
        <v>106</v>
      </c>
      <c r="J473">
        <v>128257.485</v>
      </c>
    </row>
    <row r="474" spans="1:10" x14ac:dyDescent="0.25">
      <c r="A474">
        <v>13</v>
      </c>
      <c r="B474" t="s">
        <v>61</v>
      </c>
      <c r="C474">
        <v>29168</v>
      </c>
      <c r="D474">
        <v>90.876666666666665</v>
      </c>
      <c r="E474">
        <v>227560</v>
      </c>
      <c r="F474">
        <v>29288.31</v>
      </c>
      <c r="G474">
        <v>108314141</v>
      </c>
      <c r="H474" t="s">
        <v>81</v>
      </c>
      <c r="I474" t="s">
        <v>106</v>
      </c>
      <c r="J474">
        <v>108314.141</v>
      </c>
    </row>
    <row r="475" spans="1:10" x14ac:dyDescent="0.25">
      <c r="A475">
        <v>13</v>
      </c>
      <c r="B475" t="s">
        <v>67</v>
      </c>
      <c r="C475">
        <v>20004</v>
      </c>
      <c r="D475">
        <v>85.693333333333328</v>
      </c>
      <c r="E475">
        <v>301495</v>
      </c>
      <c r="F475">
        <v>37247.870000000003</v>
      </c>
      <c r="G475">
        <v>108724689</v>
      </c>
      <c r="H475" t="s">
        <v>81</v>
      </c>
      <c r="I475" t="s">
        <v>106</v>
      </c>
      <c r="J475">
        <v>108724.689</v>
      </c>
    </row>
    <row r="476" spans="1:10" x14ac:dyDescent="0.25">
      <c r="A476">
        <v>19</v>
      </c>
      <c r="B476" t="s">
        <v>60</v>
      </c>
      <c r="C476">
        <v>42778</v>
      </c>
      <c r="D476">
        <v>87.793333333333337</v>
      </c>
      <c r="E476">
        <v>599361</v>
      </c>
      <c r="F476">
        <v>75667.66</v>
      </c>
      <c r="G476">
        <v>176837020</v>
      </c>
      <c r="H476" t="s">
        <v>81</v>
      </c>
      <c r="I476" t="s">
        <v>106</v>
      </c>
      <c r="J476">
        <v>176837.02</v>
      </c>
    </row>
    <row r="477" spans="1:10" x14ac:dyDescent="0.25">
      <c r="A477">
        <v>13</v>
      </c>
      <c r="B477" t="s">
        <v>64</v>
      </c>
      <c r="C477">
        <v>108599</v>
      </c>
      <c r="D477">
        <v>77.896666666666661</v>
      </c>
      <c r="E477">
        <v>3313519</v>
      </c>
      <c r="F477">
        <v>28190</v>
      </c>
      <c r="G477">
        <v>1181483145</v>
      </c>
      <c r="H477" t="s">
        <v>81</v>
      </c>
      <c r="I477" t="s">
        <v>106</v>
      </c>
      <c r="J477">
        <v>1181483.145</v>
      </c>
    </row>
    <row r="478" spans="1:10" x14ac:dyDescent="0.25">
      <c r="A478">
        <v>21</v>
      </c>
      <c r="B478" t="s">
        <v>60</v>
      </c>
      <c r="C478">
        <v>-2966</v>
      </c>
      <c r="D478">
        <v>85.483333333333334</v>
      </c>
      <c r="E478">
        <v>524328</v>
      </c>
      <c r="F478">
        <v>11636.749999999996</v>
      </c>
      <c r="G478">
        <v>166333312</v>
      </c>
      <c r="H478" t="s">
        <v>81</v>
      </c>
      <c r="I478" t="s">
        <v>106</v>
      </c>
      <c r="J478">
        <v>166333.31200000001</v>
      </c>
    </row>
    <row r="479" spans="1:10" x14ac:dyDescent="0.25">
      <c r="A479">
        <v>22</v>
      </c>
      <c r="B479" t="s">
        <v>60</v>
      </c>
      <c r="C479">
        <v>29761</v>
      </c>
      <c r="D479">
        <v>85.393333333333331</v>
      </c>
      <c r="E479">
        <v>574778</v>
      </c>
      <c r="F479">
        <v>54078.84</v>
      </c>
      <c r="G479">
        <v>169002345</v>
      </c>
      <c r="H479" t="s">
        <v>81</v>
      </c>
      <c r="I479" t="s">
        <v>106</v>
      </c>
      <c r="J479">
        <v>169002.345</v>
      </c>
    </row>
    <row r="480" spans="1:10" x14ac:dyDescent="0.25">
      <c r="A480">
        <v>54</v>
      </c>
      <c r="B480" t="s">
        <v>63</v>
      </c>
      <c r="C480">
        <v>329940</v>
      </c>
      <c r="D480">
        <v>90.516666666666666</v>
      </c>
      <c r="E480">
        <v>12111788</v>
      </c>
      <c r="F480">
        <v>877920.36</v>
      </c>
      <c r="G480">
        <v>3143025154</v>
      </c>
      <c r="H480" t="s">
        <v>81</v>
      </c>
      <c r="I480" t="s">
        <v>106</v>
      </c>
      <c r="J480">
        <v>3143025.1540000001</v>
      </c>
    </row>
    <row r="481" spans="1:10" x14ac:dyDescent="0.25">
      <c r="A481">
        <v>54</v>
      </c>
      <c r="B481" t="s">
        <v>60</v>
      </c>
      <c r="C481">
        <v>-38415</v>
      </c>
      <c r="D481">
        <v>88.553333333333342</v>
      </c>
      <c r="E481">
        <v>689973</v>
      </c>
      <c r="F481">
        <v>-27263.199999999997</v>
      </c>
      <c r="G481">
        <v>217272261</v>
      </c>
      <c r="H481" t="s">
        <v>81</v>
      </c>
      <c r="I481" t="s">
        <v>106</v>
      </c>
      <c r="J481">
        <v>217272.261</v>
      </c>
    </row>
    <row r="482" spans="1:10" x14ac:dyDescent="0.25">
      <c r="A482">
        <v>19</v>
      </c>
      <c r="B482" t="s">
        <v>66</v>
      </c>
      <c r="C482">
        <v>285315</v>
      </c>
      <c r="D482">
        <v>86.383333333333326</v>
      </c>
      <c r="E482">
        <v>1555316</v>
      </c>
      <c r="F482">
        <v>453766</v>
      </c>
      <c r="G482">
        <v>343697145</v>
      </c>
      <c r="H482" t="s">
        <v>81</v>
      </c>
      <c r="I482" t="s">
        <v>106</v>
      </c>
      <c r="J482">
        <v>343697.14500000002</v>
      </c>
    </row>
    <row r="483" spans="1:10" x14ac:dyDescent="0.25">
      <c r="A483">
        <v>19</v>
      </c>
      <c r="B483" t="s">
        <v>65</v>
      </c>
      <c r="C483">
        <v>70761</v>
      </c>
      <c r="D483">
        <v>85.076666666666668</v>
      </c>
      <c r="E483">
        <v>1442616</v>
      </c>
      <c r="F483">
        <v>151694.70000000001</v>
      </c>
      <c r="G483">
        <v>500868249</v>
      </c>
      <c r="H483" t="s">
        <v>81</v>
      </c>
      <c r="I483" t="s">
        <v>106</v>
      </c>
      <c r="J483">
        <v>500868.24900000001</v>
      </c>
    </row>
    <row r="484" spans="1:10" x14ac:dyDescent="0.25">
      <c r="A484">
        <v>19</v>
      </c>
      <c r="B484" t="s">
        <v>62</v>
      </c>
      <c r="C484">
        <v>1371648</v>
      </c>
      <c r="D484">
        <v>85.72</v>
      </c>
      <c r="E484">
        <v>10506964</v>
      </c>
      <c r="F484">
        <v>1696529</v>
      </c>
      <c r="G484">
        <v>2576900527</v>
      </c>
      <c r="H484" t="s">
        <v>81</v>
      </c>
      <c r="I484" t="s">
        <v>106</v>
      </c>
      <c r="J484">
        <v>2576900.5269999998</v>
      </c>
    </row>
    <row r="485" spans="1:10" x14ac:dyDescent="0.25">
      <c r="A485">
        <v>19</v>
      </c>
      <c r="B485" t="s">
        <v>68</v>
      </c>
      <c r="C485">
        <v>23450</v>
      </c>
      <c r="D485">
        <v>93.663333333333341</v>
      </c>
      <c r="E485">
        <v>372432</v>
      </c>
      <c r="F485">
        <v>38801.619999999995</v>
      </c>
      <c r="G485">
        <v>113436214</v>
      </c>
      <c r="H485" t="s">
        <v>81</v>
      </c>
      <c r="I485" t="s">
        <v>106</v>
      </c>
      <c r="J485">
        <v>113436.21400000001</v>
      </c>
    </row>
    <row r="486" spans="1:10" x14ac:dyDescent="0.25">
      <c r="A486">
        <v>19</v>
      </c>
      <c r="B486" t="s">
        <v>61</v>
      </c>
      <c r="C486">
        <v>24310</v>
      </c>
      <c r="D486">
        <v>90.2</v>
      </c>
      <c r="E486">
        <v>220014</v>
      </c>
      <c r="F486">
        <v>24535.16</v>
      </c>
      <c r="G486">
        <v>91287159</v>
      </c>
      <c r="H486" t="s">
        <v>81</v>
      </c>
      <c r="I486" t="s">
        <v>106</v>
      </c>
      <c r="J486">
        <v>91287.159</v>
      </c>
    </row>
    <row r="487" spans="1:10" x14ac:dyDescent="0.25">
      <c r="A487">
        <v>19</v>
      </c>
      <c r="B487" t="s">
        <v>67</v>
      </c>
      <c r="C487">
        <v>54381</v>
      </c>
      <c r="D487">
        <v>89.67</v>
      </c>
      <c r="E487">
        <v>456625</v>
      </c>
      <c r="F487">
        <v>97803.520000000004</v>
      </c>
      <c r="G487">
        <v>144985935</v>
      </c>
      <c r="H487" t="s">
        <v>81</v>
      </c>
      <c r="I487" t="s">
        <v>106</v>
      </c>
      <c r="J487">
        <v>144985.935</v>
      </c>
    </row>
    <row r="488" spans="1:10" x14ac:dyDescent="0.25">
      <c r="A488">
        <v>19</v>
      </c>
      <c r="B488" t="s">
        <v>63</v>
      </c>
      <c r="C488">
        <v>377383</v>
      </c>
      <c r="D488">
        <v>86.929999999999993</v>
      </c>
      <c r="E488">
        <v>10229894</v>
      </c>
      <c r="F488">
        <v>510368.66000000003</v>
      </c>
      <c r="G488">
        <v>2542395357</v>
      </c>
      <c r="H488" t="s">
        <v>81</v>
      </c>
      <c r="I488" t="s">
        <v>106</v>
      </c>
      <c r="J488">
        <v>2542395.3569999998</v>
      </c>
    </row>
    <row r="489" spans="1:10" x14ac:dyDescent="0.25">
      <c r="A489">
        <v>19</v>
      </c>
      <c r="B489" t="s">
        <v>64</v>
      </c>
      <c r="C489">
        <v>259422</v>
      </c>
      <c r="D489">
        <v>80.806666666666672</v>
      </c>
      <c r="E489">
        <v>4544691</v>
      </c>
      <c r="F489">
        <v>389727</v>
      </c>
      <c r="G489">
        <v>1394509008</v>
      </c>
      <c r="H489" t="s">
        <v>81</v>
      </c>
      <c r="I489" t="s">
        <v>106</v>
      </c>
      <c r="J489">
        <v>1394509.0079999999</v>
      </c>
    </row>
    <row r="490" spans="1:10" x14ac:dyDescent="0.25">
      <c r="A490">
        <v>21</v>
      </c>
      <c r="B490" t="s">
        <v>66</v>
      </c>
      <c r="C490">
        <v>93305</v>
      </c>
      <c r="D490">
        <v>85.106666666666669</v>
      </c>
      <c r="E490">
        <v>1221373</v>
      </c>
      <c r="F490">
        <v>146844</v>
      </c>
      <c r="G490">
        <v>318062669</v>
      </c>
      <c r="H490" t="s">
        <v>81</v>
      </c>
      <c r="I490" t="s">
        <v>106</v>
      </c>
      <c r="J490">
        <v>318062.66899999999</v>
      </c>
    </row>
    <row r="491" spans="1:10" x14ac:dyDescent="0.25">
      <c r="A491">
        <v>21</v>
      </c>
      <c r="B491" t="s">
        <v>65</v>
      </c>
      <c r="C491">
        <v>-1200</v>
      </c>
      <c r="D491">
        <v>83.603333333333325</v>
      </c>
      <c r="E491">
        <v>1348787</v>
      </c>
      <c r="F491">
        <v>43411.23</v>
      </c>
      <c r="G491">
        <v>463849694</v>
      </c>
      <c r="H491" t="s">
        <v>81</v>
      </c>
      <c r="I491" t="s">
        <v>106</v>
      </c>
      <c r="J491">
        <v>463849.69400000002</v>
      </c>
    </row>
    <row r="492" spans="1:10" x14ac:dyDescent="0.25">
      <c r="A492">
        <v>21</v>
      </c>
      <c r="B492" t="s">
        <v>62</v>
      </c>
      <c r="C492">
        <v>218132</v>
      </c>
      <c r="D492">
        <v>84.973333333333329</v>
      </c>
      <c r="E492">
        <v>8927524</v>
      </c>
      <c r="F492">
        <v>671904</v>
      </c>
      <c r="G492">
        <v>2191198459</v>
      </c>
      <c r="H492" t="s">
        <v>81</v>
      </c>
      <c r="I492" t="s">
        <v>106</v>
      </c>
      <c r="J492">
        <v>2191198.4589999998</v>
      </c>
    </row>
    <row r="493" spans="1:10" x14ac:dyDescent="0.25">
      <c r="A493">
        <v>21</v>
      </c>
      <c r="B493" t="s">
        <v>68</v>
      </c>
      <c r="C493">
        <v>10156</v>
      </c>
      <c r="D493">
        <v>88.086666666666673</v>
      </c>
      <c r="E493">
        <v>328419</v>
      </c>
      <c r="F493">
        <v>17629.46</v>
      </c>
      <c r="G493">
        <v>110701810</v>
      </c>
      <c r="H493" t="s">
        <v>81</v>
      </c>
      <c r="I493" t="s">
        <v>106</v>
      </c>
      <c r="J493">
        <v>110701.81</v>
      </c>
    </row>
    <row r="494" spans="1:10" x14ac:dyDescent="0.25">
      <c r="A494">
        <v>21</v>
      </c>
      <c r="B494" t="s">
        <v>61</v>
      </c>
      <c r="C494">
        <v>49528</v>
      </c>
      <c r="D494">
        <v>88.61</v>
      </c>
      <c r="E494">
        <v>291666</v>
      </c>
      <c r="F494">
        <v>50451.57</v>
      </c>
      <c r="G494">
        <v>110117277</v>
      </c>
      <c r="H494" t="s">
        <v>81</v>
      </c>
      <c r="I494" t="s">
        <v>106</v>
      </c>
      <c r="J494">
        <v>110117.277</v>
      </c>
    </row>
    <row r="495" spans="1:10" x14ac:dyDescent="0.25">
      <c r="A495">
        <v>21</v>
      </c>
      <c r="B495" t="s">
        <v>67</v>
      </c>
      <c r="C495">
        <v>37706</v>
      </c>
      <c r="D495">
        <v>87.656666666666666</v>
      </c>
      <c r="E495">
        <v>437987</v>
      </c>
      <c r="F495">
        <v>59953.24</v>
      </c>
      <c r="G495">
        <v>148471694</v>
      </c>
      <c r="H495" t="s">
        <v>81</v>
      </c>
      <c r="I495" t="s">
        <v>106</v>
      </c>
      <c r="J495">
        <v>148471.69399999999</v>
      </c>
    </row>
    <row r="496" spans="1:10" x14ac:dyDescent="0.25">
      <c r="A496">
        <v>54</v>
      </c>
      <c r="B496" t="s">
        <v>65</v>
      </c>
      <c r="C496">
        <v>-188114</v>
      </c>
      <c r="D496">
        <v>86.566666666666663</v>
      </c>
      <c r="E496">
        <v>2444768</v>
      </c>
      <c r="F496">
        <v>-107306.14</v>
      </c>
      <c r="G496">
        <v>910333404</v>
      </c>
      <c r="H496" t="s">
        <v>81</v>
      </c>
      <c r="I496" t="s">
        <v>106</v>
      </c>
      <c r="J496">
        <v>910333.40399999998</v>
      </c>
    </row>
    <row r="497" spans="1:10" x14ac:dyDescent="0.25">
      <c r="A497">
        <v>21</v>
      </c>
      <c r="B497" t="s">
        <v>64</v>
      </c>
      <c r="C497">
        <v>152441</v>
      </c>
      <c r="D497">
        <v>79.056666666666672</v>
      </c>
      <c r="E497">
        <v>4166103</v>
      </c>
      <c r="F497">
        <v>215415</v>
      </c>
      <c r="G497">
        <v>1261236045</v>
      </c>
      <c r="H497" t="s">
        <v>81</v>
      </c>
      <c r="I497" t="s">
        <v>106</v>
      </c>
      <c r="J497">
        <v>1261236.0449999999</v>
      </c>
    </row>
    <row r="498" spans="1:10" x14ac:dyDescent="0.25">
      <c r="A498">
        <v>22</v>
      </c>
      <c r="B498" t="s">
        <v>66</v>
      </c>
      <c r="C498">
        <v>166041</v>
      </c>
      <c r="D498">
        <v>86.67</v>
      </c>
      <c r="E498">
        <v>1373131</v>
      </c>
      <c r="F498">
        <v>257466</v>
      </c>
      <c r="G498">
        <v>337918454</v>
      </c>
      <c r="H498" t="s">
        <v>81</v>
      </c>
      <c r="I498" t="s">
        <v>106</v>
      </c>
      <c r="J498">
        <v>337918.45400000003</v>
      </c>
    </row>
    <row r="499" spans="1:10" x14ac:dyDescent="0.25">
      <c r="A499">
        <v>22</v>
      </c>
      <c r="B499" t="s">
        <v>65</v>
      </c>
      <c r="C499">
        <v>230641</v>
      </c>
      <c r="D499">
        <v>85.896666666666675</v>
      </c>
      <c r="E499">
        <v>1493704</v>
      </c>
      <c r="F499">
        <v>140501.99</v>
      </c>
      <c r="G499">
        <v>497257315</v>
      </c>
      <c r="H499" t="s">
        <v>81</v>
      </c>
      <c r="I499" t="s">
        <v>106</v>
      </c>
      <c r="J499">
        <v>497257.315</v>
      </c>
    </row>
    <row r="500" spans="1:10" x14ac:dyDescent="0.25">
      <c r="A500">
        <v>22</v>
      </c>
      <c r="B500" t="s">
        <v>62</v>
      </c>
      <c r="C500">
        <v>807422</v>
      </c>
      <c r="D500">
        <v>88.493333333333339</v>
      </c>
      <c r="E500">
        <v>10639874</v>
      </c>
      <c r="F500">
        <v>1615666</v>
      </c>
      <c r="G500">
        <v>2435701598</v>
      </c>
      <c r="H500" t="s">
        <v>81</v>
      </c>
      <c r="I500" t="s">
        <v>106</v>
      </c>
      <c r="J500">
        <v>2435701.5980000002</v>
      </c>
    </row>
    <row r="501" spans="1:10" x14ac:dyDescent="0.25">
      <c r="A501">
        <v>22</v>
      </c>
      <c r="B501" t="s">
        <v>68</v>
      </c>
      <c r="C501">
        <v>35124</v>
      </c>
      <c r="D501">
        <v>91.093333333333334</v>
      </c>
      <c r="E501">
        <v>392939</v>
      </c>
      <c r="F501">
        <v>57883.070000000007</v>
      </c>
      <c r="G501">
        <v>129776021</v>
      </c>
      <c r="H501" t="s">
        <v>81</v>
      </c>
      <c r="I501" t="s">
        <v>106</v>
      </c>
      <c r="J501">
        <v>129776.02099999999</v>
      </c>
    </row>
    <row r="502" spans="1:10" x14ac:dyDescent="0.25">
      <c r="A502">
        <v>22</v>
      </c>
      <c r="B502" t="s">
        <v>61</v>
      </c>
      <c r="C502">
        <v>48559</v>
      </c>
      <c r="D502">
        <v>89.903333333333336</v>
      </c>
      <c r="E502">
        <v>280662</v>
      </c>
      <c r="F502">
        <v>50213.23</v>
      </c>
      <c r="G502">
        <v>105710555</v>
      </c>
      <c r="H502" t="s">
        <v>81</v>
      </c>
      <c r="I502" t="s">
        <v>106</v>
      </c>
      <c r="J502">
        <v>105710.55499999999</v>
      </c>
    </row>
    <row r="503" spans="1:10" x14ac:dyDescent="0.25">
      <c r="A503">
        <v>22</v>
      </c>
      <c r="B503" t="s">
        <v>67</v>
      </c>
      <c r="C503">
        <v>64849</v>
      </c>
      <c r="D503">
        <v>88.206666666666663</v>
      </c>
      <c r="E503">
        <v>499337</v>
      </c>
      <c r="F503">
        <v>105144.14</v>
      </c>
      <c r="G503">
        <v>154852089</v>
      </c>
      <c r="H503" t="s">
        <v>81</v>
      </c>
      <c r="I503" t="s">
        <v>106</v>
      </c>
      <c r="J503">
        <v>154852.08900000001</v>
      </c>
    </row>
    <row r="504" spans="1:10" x14ac:dyDescent="0.25">
      <c r="A504">
        <v>22</v>
      </c>
      <c r="B504" t="s">
        <v>63</v>
      </c>
      <c r="C504">
        <v>769231</v>
      </c>
      <c r="D504">
        <v>87.82</v>
      </c>
      <c r="E504">
        <v>10328256</v>
      </c>
      <c r="F504">
        <v>906073.08</v>
      </c>
      <c r="G504">
        <v>2441231402</v>
      </c>
      <c r="H504" t="s">
        <v>81</v>
      </c>
      <c r="I504" t="s">
        <v>106</v>
      </c>
      <c r="J504">
        <v>2441231.4019999998</v>
      </c>
    </row>
    <row r="505" spans="1:10" x14ac:dyDescent="0.25">
      <c r="A505">
        <v>22</v>
      </c>
      <c r="B505" t="s">
        <v>64</v>
      </c>
      <c r="C505">
        <v>464994</v>
      </c>
      <c r="D505">
        <v>83.803333333333327</v>
      </c>
      <c r="E505">
        <v>5011428</v>
      </c>
      <c r="F505">
        <v>775373</v>
      </c>
      <c r="G505">
        <v>1371665612</v>
      </c>
      <c r="H505" t="s">
        <v>81</v>
      </c>
      <c r="I505" t="s">
        <v>106</v>
      </c>
      <c r="J505">
        <v>1371665.612</v>
      </c>
    </row>
    <row r="506" spans="1:10" x14ac:dyDescent="0.25">
      <c r="A506">
        <v>54</v>
      </c>
      <c r="B506" t="s">
        <v>67</v>
      </c>
      <c r="C506">
        <v>-52406</v>
      </c>
      <c r="D506">
        <v>87.433333333333337</v>
      </c>
      <c r="E506">
        <v>1366643</v>
      </c>
      <c r="F506">
        <v>-45330.3</v>
      </c>
      <c r="G506">
        <v>558633111</v>
      </c>
      <c r="H506" t="s">
        <v>81</v>
      </c>
      <c r="I506" t="s">
        <v>106</v>
      </c>
      <c r="J506">
        <v>558633.11100000003</v>
      </c>
    </row>
    <row r="507" spans="1:10" x14ac:dyDescent="0.25">
      <c r="A507">
        <v>54</v>
      </c>
      <c r="B507" t="s">
        <v>61</v>
      </c>
      <c r="C507">
        <v>10784</v>
      </c>
      <c r="D507">
        <v>87.76</v>
      </c>
      <c r="E507">
        <v>629846</v>
      </c>
      <c r="F507">
        <v>28567.11</v>
      </c>
      <c r="G507">
        <v>257967087</v>
      </c>
      <c r="H507" t="s">
        <v>81</v>
      </c>
      <c r="I507" t="s">
        <v>106</v>
      </c>
      <c r="J507">
        <v>257967.087</v>
      </c>
    </row>
    <row r="508" spans="1:10" x14ac:dyDescent="0.25">
      <c r="A508">
        <v>54</v>
      </c>
      <c r="B508" t="s">
        <v>68</v>
      </c>
      <c r="C508">
        <v>16407</v>
      </c>
      <c r="D508">
        <v>85.823333333333338</v>
      </c>
      <c r="E508">
        <v>908531</v>
      </c>
      <c r="F508">
        <v>11426.219999999998</v>
      </c>
      <c r="G508">
        <v>311970615</v>
      </c>
      <c r="H508" t="s">
        <v>81</v>
      </c>
      <c r="I508" t="s">
        <v>106</v>
      </c>
      <c r="J508">
        <v>311970.61499999999</v>
      </c>
    </row>
    <row r="509" spans="1:10" x14ac:dyDescent="0.25">
      <c r="A509">
        <v>54</v>
      </c>
      <c r="B509" t="s">
        <v>66</v>
      </c>
      <c r="C509">
        <v>143232</v>
      </c>
      <c r="D509">
        <v>88.72999999999999</v>
      </c>
      <c r="E509">
        <v>2657033</v>
      </c>
      <c r="F509">
        <v>155947</v>
      </c>
      <c r="G509">
        <v>718440676</v>
      </c>
      <c r="H509" t="s">
        <v>81</v>
      </c>
      <c r="I509" t="s">
        <v>106</v>
      </c>
      <c r="J509">
        <v>718440.67599999998</v>
      </c>
    </row>
    <row r="510" spans="1:10" x14ac:dyDescent="0.25">
      <c r="A510">
        <v>54</v>
      </c>
      <c r="B510" t="s">
        <v>62</v>
      </c>
      <c r="C510">
        <v>798789</v>
      </c>
      <c r="D510">
        <v>90.679999999999993</v>
      </c>
      <c r="E510">
        <v>13849556</v>
      </c>
      <c r="F510">
        <v>1654695</v>
      </c>
      <c r="G510">
        <v>2814603886</v>
      </c>
      <c r="H510" t="s">
        <v>81</v>
      </c>
      <c r="I510" t="s">
        <v>106</v>
      </c>
      <c r="J510">
        <v>2814603.8859999999</v>
      </c>
    </row>
    <row r="511" spans="1:10" x14ac:dyDescent="0.25">
      <c r="A511">
        <v>54</v>
      </c>
      <c r="B511" t="s">
        <v>64</v>
      </c>
      <c r="C511">
        <v>760132</v>
      </c>
      <c r="D511">
        <v>87.086666666666659</v>
      </c>
      <c r="E511">
        <v>6728340</v>
      </c>
      <c r="F511">
        <v>1158160</v>
      </c>
      <c r="G511">
        <v>1563400310</v>
      </c>
      <c r="H511" t="s">
        <v>81</v>
      </c>
      <c r="I511" t="s">
        <v>106</v>
      </c>
      <c r="J511">
        <v>1563400.31</v>
      </c>
    </row>
    <row r="512" spans="1:10" x14ac:dyDescent="0.25">
      <c r="A512">
        <v>47</v>
      </c>
      <c r="B512" t="s">
        <v>4</v>
      </c>
      <c r="C512">
        <v>-2275515</v>
      </c>
      <c r="D512">
        <v>63.120000000000005</v>
      </c>
      <c r="E512">
        <v>3172266</v>
      </c>
      <c r="F512">
        <v>-4945286.6999999993</v>
      </c>
      <c r="G512">
        <v>420029455</v>
      </c>
      <c r="H512" t="s">
        <v>82</v>
      </c>
      <c r="I512" t="s">
        <v>103</v>
      </c>
      <c r="J512">
        <v>420029.45500000002</v>
      </c>
    </row>
    <row r="513" spans="1:10" x14ac:dyDescent="0.25">
      <c r="A513">
        <v>47</v>
      </c>
      <c r="B513" t="s">
        <v>64</v>
      </c>
      <c r="C513">
        <v>-1156653</v>
      </c>
      <c r="D513">
        <v>45.403333333333336</v>
      </c>
      <c r="E513">
        <v>1793075</v>
      </c>
      <c r="F513">
        <v>-2658234</v>
      </c>
      <c r="G513">
        <v>369246273</v>
      </c>
      <c r="H513" t="s">
        <v>82</v>
      </c>
      <c r="I513" t="s">
        <v>103</v>
      </c>
      <c r="J513">
        <v>369246.27299999999</v>
      </c>
    </row>
    <row r="514" spans="1:10" x14ac:dyDescent="0.25">
      <c r="A514">
        <v>47</v>
      </c>
      <c r="B514" t="s">
        <v>63</v>
      </c>
      <c r="C514">
        <v>-1841017</v>
      </c>
      <c r="D514">
        <v>52.59</v>
      </c>
      <c r="E514">
        <v>2488824</v>
      </c>
      <c r="F514">
        <v>-3108526.93</v>
      </c>
      <c r="G514">
        <v>350995700</v>
      </c>
      <c r="H514" t="s">
        <v>82</v>
      </c>
      <c r="I514" t="s">
        <v>103</v>
      </c>
      <c r="J514">
        <v>350995.7</v>
      </c>
    </row>
    <row r="515" spans="1:10" x14ac:dyDescent="0.25">
      <c r="A515">
        <v>47</v>
      </c>
      <c r="B515" t="s">
        <v>62</v>
      </c>
      <c r="C515">
        <v>-5381342</v>
      </c>
      <c r="D515">
        <v>43.243333333333332</v>
      </c>
      <c r="E515">
        <v>3064708</v>
      </c>
      <c r="F515">
        <v>-2292385</v>
      </c>
      <c r="G515">
        <v>410228181</v>
      </c>
      <c r="H515" t="s">
        <v>82</v>
      </c>
      <c r="I515" t="s">
        <v>103</v>
      </c>
      <c r="J515">
        <v>410228.18099999998</v>
      </c>
    </row>
    <row r="516" spans="1:10" x14ac:dyDescent="0.25">
      <c r="A516">
        <v>46</v>
      </c>
      <c r="B516" t="s">
        <v>4</v>
      </c>
      <c r="C516">
        <v>-1968013</v>
      </c>
      <c r="D516">
        <v>44.073333333333331</v>
      </c>
      <c r="E516">
        <v>1622052</v>
      </c>
      <c r="F516">
        <v>-4459137.8199999994</v>
      </c>
      <c r="G516">
        <v>198861626</v>
      </c>
      <c r="H516" t="s">
        <v>82</v>
      </c>
      <c r="I516" t="s">
        <v>103</v>
      </c>
      <c r="J516">
        <v>198861.62599999999</v>
      </c>
    </row>
    <row r="517" spans="1:10" x14ac:dyDescent="0.25">
      <c r="A517">
        <v>46</v>
      </c>
      <c r="B517" t="s">
        <v>62</v>
      </c>
      <c r="C517">
        <v>-5691876</v>
      </c>
      <c r="D517">
        <v>34.21</v>
      </c>
      <c r="E517">
        <v>1472123</v>
      </c>
      <c r="F517">
        <v>-3517502</v>
      </c>
      <c r="G517">
        <v>332812728</v>
      </c>
      <c r="H517" t="s">
        <v>82</v>
      </c>
      <c r="I517" t="s">
        <v>103</v>
      </c>
      <c r="J517">
        <v>332812.728</v>
      </c>
    </row>
    <row r="518" spans="1:10" x14ac:dyDescent="0.25">
      <c r="A518">
        <v>46</v>
      </c>
      <c r="B518" t="s">
        <v>64</v>
      </c>
      <c r="C518">
        <v>-914941</v>
      </c>
      <c r="D518">
        <v>29.09333333333333</v>
      </c>
      <c r="E518">
        <v>1007676</v>
      </c>
      <c r="F518">
        <v>-2217663</v>
      </c>
      <c r="G518">
        <v>260101829</v>
      </c>
      <c r="H518" t="s">
        <v>82</v>
      </c>
      <c r="I518" t="s">
        <v>103</v>
      </c>
      <c r="J518">
        <v>260101.829</v>
      </c>
    </row>
    <row r="519" spans="1:10" x14ac:dyDescent="0.25">
      <c r="A519">
        <v>46</v>
      </c>
      <c r="B519" t="s">
        <v>63</v>
      </c>
      <c r="C519">
        <v>-1625896</v>
      </c>
      <c r="D519">
        <v>34.976666666666674</v>
      </c>
      <c r="E519">
        <v>1475477</v>
      </c>
      <c r="F519">
        <v>-3225521.2300000004</v>
      </c>
      <c r="G519">
        <v>167527133</v>
      </c>
      <c r="H519" t="s">
        <v>82</v>
      </c>
      <c r="I519" t="s">
        <v>103</v>
      </c>
      <c r="J519">
        <v>167527.133</v>
      </c>
    </row>
    <row r="520" spans="1:10" x14ac:dyDescent="0.25">
      <c r="A520">
        <v>48</v>
      </c>
      <c r="B520" t="s">
        <v>4</v>
      </c>
      <c r="C520">
        <v>-2037012</v>
      </c>
      <c r="D520">
        <v>68.156666666666666</v>
      </c>
      <c r="E520">
        <v>4026894</v>
      </c>
      <c r="F520">
        <v>-2438663.1300000004</v>
      </c>
      <c r="G520">
        <v>486961900</v>
      </c>
      <c r="H520" t="s">
        <v>82</v>
      </c>
      <c r="I520" t="s">
        <v>103</v>
      </c>
      <c r="J520">
        <v>486961.9</v>
      </c>
    </row>
    <row r="521" spans="1:10" x14ac:dyDescent="0.25">
      <c r="A521">
        <v>48</v>
      </c>
      <c r="B521" t="s">
        <v>63</v>
      </c>
      <c r="C521">
        <v>-1896466</v>
      </c>
      <c r="D521">
        <v>63.06666666666667</v>
      </c>
      <c r="E521">
        <v>3412579</v>
      </c>
      <c r="F521">
        <v>-2586930.4700000002</v>
      </c>
      <c r="G521">
        <v>487654916</v>
      </c>
      <c r="H521" t="s">
        <v>82</v>
      </c>
      <c r="I521" t="s">
        <v>103</v>
      </c>
      <c r="J521">
        <v>487654.91600000003</v>
      </c>
    </row>
    <row r="522" spans="1:10" x14ac:dyDescent="0.25">
      <c r="A522">
        <v>48</v>
      </c>
      <c r="B522" t="s">
        <v>62</v>
      </c>
      <c r="C522">
        <v>-792997</v>
      </c>
      <c r="D522">
        <v>43.886666666666663</v>
      </c>
      <c r="E522">
        <v>3973935</v>
      </c>
      <c r="F522">
        <v>-1736877</v>
      </c>
      <c r="G522">
        <v>609428451</v>
      </c>
      <c r="H522" t="s">
        <v>82</v>
      </c>
      <c r="I522" t="s">
        <v>103</v>
      </c>
      <c r="J522">
        <v>609428.451</v>
      </c>
    </row>
    <row r="523" spans="1:10" x14ac:dyDescent="0.25">
      <c r="A523">
        <v>49</v>
      </c>
      <c r="B523" t="s">
        <v>4</v>
      </c>
      <c r="C523">
        <v>-1215616</v>
      </c>
      <c r="D523">
        <v>65.44</v>
      </c>
      <c r="E523">
        <v>4007498</v>
      </c>
      <c r="F523">
        <v>-3439576.1599999997</v>
      </c>
      <c r="G523">
        <v>719347210</v>
      </c>
      <c r="H523" t="s">
        <v>82</v>
      </c>
      <c r="I523" t="s">
        <v>104</v>
      </c>
      <c r="J523">
        <v>719347.21</v>
      </c>
    </row>
    <row r="524" spans="1:10" x14ac:dyDescent="0.25">
      <c r="A524">
        <v>49</v>
      </c>
      <c r="B524" t="s">
        <v>63</v>
      </c>
      <c r="C524">
        <v>-1356728</v>
      </c>
      <c r="D524">
        <v>63.443333333333335</v>
      </c>
      <c r="E524">
        <v>3220602</v>
      </c>
      <c r="F524">
        <v>-3190117.3200000003</v>
      </c>
      <c r="G524">
        <v>613885788</v>
      </c>
      <c r="H524" t="s">
        <v>82</v>
      </c>
      <c r="I524" t="s">
        <v>104</v>
      </c>
      <c r="J524">
        <v>613885.78799999994</v>
      </c>
    </row>
    <row r="525" spans="1:10" x14ac:dyDescent="0.25">
      <c r="A525">
        <v>49</v>
      </c>
      <c r="B525" t="s">
        <v>62</v>
      </c>
      <c r="C525">
        <v>-1181408</v>
      </c>
      <c r="D525">
        <v>48.693333333333335</v>
      </c>
      <c r="E525">
        <v>4152660</v>
      </c>
      <c r="F525">
        <v>-2494911</v>
      </c>
      <c r="G525">
        <v>889222115</v>
      </c>
      <c r="H525" t="s">
        <v>82</v>
      </c>
      <c r="I525" t="s">
        <v>104</v>
      </c>
      <c r="J525">
        <v>889222.11499999999</v>
      </c>
    </row>
    <row r="526" spans="1:10" x14ac:dyDescent="0.25">
      <c r="A526">
        <v>48</v>
      </c>
      <c r="B526" t="s">
        <v>64</v>
      </c>
      <c r="C526">
        <v>-908410</v>
      </c>
      <c r="D526">
        <v>54.053333333333335</v>
      </c>
      <c r="E526">
        <v>2013376</v>
      </c>
      <c r="F526">
        <v>-1168470</v>
      </c>
      <c r="G526">
        <v>350332421</v>
      </c>
      <c r="H526" t="s">
        <v>82</v>
      </c>
      <c r="I526" t="s">
        <v>103</v>
      </c>
      <c r="J526">
        <v>350332.42099999997</v>
      </c>
    </row>
    <row r="527" spans="1:10" x14ac:dyDescent="0.25">
      <c r="A527">
        <v>49</v>
      </c>
      <c r="B527" t="s">
        <v>64</v>
      </c>
      <c r="C527">
        <v>115613</v>
      </c>
      <c r="D527">
        <v>63.519999999999996</v>
      </c>
      <c r="E527">
        <v>2051624</v>
      </c>
      <c r="F527">
        <v>-1017151</v>
      </c>
      <c r="G527">
        <v>455093551</v>
      </c>
      <c r="H527" t="s">
        <v>82</v>
      </c>
      <c r="I527" t="s">
        <v>104</v>
      </c>
      <c r="J527">
        <v>455093.55099999998</v>
      </c>
    </row>
    <row r="528" spans="1:10" x14ac:dyDescent="0.25">
      <c r="A528">
        <v>47</v>
      </c>
      <c r="B528" t="s">
        <v>66</v>
      </c>
      <c r="C528">
        <v>-501257</v>
      </c>
      <c r="D528">
        <v>47.303333333333335</v>
      </c>
      <c r="E528">
        <v>700518</v>
      </c>
      <c r="F528">
        <v>-985565</v>
      </c>
      <c r="G528">
        <v>97849924</v>
      </c>
      <c r="H528" t="s">
        <v>82</v>
      </c>
      <c r="I528" t="s">
        <v>103</v>
      </c>
      <c r="J528">
        <v>97849.923999999999</v>
      </c>
    </row>
    <row r="529" spans="1:10" x14ac:dyDescent="0.25">
      <c r="A529">
        <v>46</v>
      </c>
      <c r="B529" t="s">
        <v>65</v>
      </c>
      <c r="C529">
        <v>-320561</v>
      </c>
      <c r="D529">
        <v>32.443333333333335</v>
      </c>
      <c r="E529">
        <v>214845</v>
      </c>
      <c r="F529">
        <v>-714045.58000000007</v>
      </c>
      <c r="G529">
        <v>29195127</v>
      </c>
      <c r="H529" t="s">
        <v>82</v>
      </c>
      <c r="I529" t="s">
        <v>103</v>
      </c>
      <c r="J529">
        <v>29195.127</v>
      </c>
    </row>
    <row r="530" spans="1:10" x14ac:dyDescent="0.25">
      <c r="A530">
        <v>50</v>
      </c>
      <c r="B530" t="s">
        <v>63</v>
      </c>
      <c r="C530">
        <v>-433825</v>
      </c>
      <c r="D530">
        <v>82.606666666666669</v>
      </c>
      <c r="E530">
        <v>5471679</v>
      </c>
      <c r="F530">
        <v>-1348832.51</v>
      </c>
      <c r="G530">
        <v>903958116</v>
      </c>
      <c r="H530" t="s">
        <v>82</v>
      </c>
      <c r="I530" t="s">
        <v>104</v>
      </c>
      <c r="J530">
        <v>903958.11600000004</v>
      </c>
    </row>
    <row r="531" spans="1:10" x14ac:dyDescent="0.25">
      <c r="A531">
        <v>46</v>
      </c>
      <c r="B531" t="s">
        <v>66</v>
      </c>
      <c r="C531">
        <v>-261577</v>
      </c>
      <c r="D531">
        <v>35.74</v>
      </c>
      <c r="E531">
        <v>420489</v>
      </c>
      <c r="F531">
        <v>-666145</v>
      </c>
      <c r="G531">
        <v>46042179</v>
      </c>
      <c r="H531" t="s">
        <v>82</v>
      </c>
      <c r="I531" t="s">
        <v>103</v>
      </c>
      <c r="J531">
        <v>46042.178999999996</v>
      </c>
    </row>
    <row r="532" spans="1:10" x14ac:dyDescent="0.25">
      <c r="A532">
        <v>47</v>
      </c>
      <c r="B532" t="s">
        <v>65</v>
      </c>
      <c r="C532">
        <v>-392373</v>
      </c>
      <c r="D532">
        <v>42.343333333333334</v>
      </c>
      <c r="E532">
        <v>491939</v>
      </c>
      <c r="F532">
        <v>-685253.39</v>
      </c>
      <c r="G532">
        <v>101316639</v>
      </c>
      <c r="H532" t="s">
        <v>82</v>
      </c>
      <c r="I532" t="s">
        <v>103</v>
      </c>
      <c r="J532">
        <v>101316.639</v>
      </c>
    </row>
    <row r="533" spans="1:10" x14ac:dyDescent="0.25">
      <c r="A533">
        <v>48</v>
      </c>
      <c r="B533" t="s">
        <v>66</v>
      </c>
      <c r="C533">
        <v>-428642</v>
      </c>
      <c r="D533">
        <v>44.33</v>
      </c>
      <c r="E533">
        <v>807401</v>
      </c>
      <c r="F533">
        <v>-646730</v>
      </c>
      <c r="G533">
        <v>129732459</v>
      </c>
      <c r="H533" t="s">
        <v>82</v>
      </c>
      <c r="I533" t="s">
        <v>103</v>
      </c>
      <c r="J533">
        <v>129732.459</v>
      </c>
    </row>
    <row r="534" spans="1:10" x14ac:dyDescent="0.25">
      <c r="A534">
        <v>49</v>
      </c>
      <c r="B534" t="s">
        <v>66</v>
      </c>
      <c r="C534">
        <v>-188295</v>
      </c>
      <c r="D534">
        <v>50.96</v>
      </c>
      <c r="E534">
        <v>796808</v>
      </c>
      <c r="F534">
        <v>-611230</v>
      </c>
      <c r="G534">
        <v>183056454</v>
      </c>
      <c r="H534" t="s">
        <v>82</v>
      </c>
      <c r="I534" t="s">
        <v>104</v>
      </c>
      <c r="J534">
        <v>183056.454</v>
      </c>
    </row>
    <row r="535" spans="1:10" x14ac:dyDescent="0.25">
      <c r="A535">
        <v>48</v>
      </c>
      <c r="B535" t="s">
        <v>65</v>
      </c>
      <c r="C535">
        <v>-373435</v>
      </c>
      <c r="D535">
        <v>52.07</v>
      </c>
      <c r="E535">
        <v>661323</v>
      </c>
      <c r="F535">
        <v>-488925.72</v>
      </c>
      <c r="G535">
        <v>133934052</v>
      </c>
      <c r="H535" t="s">
        <v>82</v>
      </c>
      <c r="I535" t="s">
        <v>103</v>
      </c>
      <c r="J535">
        <v>133934.052</v>
      </c>
    </row>
    <row r="536" spans="1:10" x14ac:dyDescent="0.25">
      <c r="A536">
        <v>49</v>
      </c>
      <c r="B536" t="s">
        <v>65</v>
      </c>
      <c r="C536">
        <v>-246585</v>
      </c>
      <c r="D536">
        <v>67.56</v>
      </c>
      <c r="E536">
        <v>732511</v>
      </c>
      <c r="F536">
        <v>-581293.87</v>
      </c>
      <c r="G536">
        <v>193394073</v>
      </c>
      <c r="H536" t="s">
        <v>82</v>
      </c>
      <c r="I536" t="s">
        <v>104</v>
      </c>
      <c r="J536">
        <v>193394.073</v>
      </c>
    </row>
    <row r="537" spans="1:10" x14ac:dyDescent="0.25">
      <c r="A537">
        <v>50</v>
      </c>
      <c r="B537" t="s">
        <v>4</v>
      </c>
      <c r="C537">
        <v>50899</v>
      </c>
      <c r="D537">
        <v>85.623333333333335</v>
      </c>
      <c r="E537">
        <v>7477994</v>
      </c>
      <c r="F537">
        <v>-1015902.15</v>
      </c>
      <c r="G537">
        <v>1148158301</v>
      </c>
      <c r="H537" t="s">
        <v>82</v>
      </c>
      <c r="I537" t="s">
        <v>104</v>
      </c>
      <c r="J537">
        <v>1148158.301</v>
      </c>
    </row>
    <row r="538" spans="1:10" x14ac:dyDescent="0.25">
      <c r="A538">
        <v>50</v>
      </c>
      <c r="B538" t="s">
        <v>62</v>
      </c>
      <c r="C538">
        <v>641091</v>
      </c>
      <c r="D538">
        <v>74.510000000000005</v>
      </c>
      <c r="E538">
        <v>7128296</v>
      </c>
      <c r="F538">
        <v>-534558</v>
      </c>
      <c r="G538">
        <v>1399090614</v>
      </c>
      <c r="H538" t="s">
        <v>82</v>
      </c>
      <c r="I538" t="s">
        <v>104</v>
      </c>
      <c r="J538">
        <v>1399090.6140000001</v>
      </c>
    </row>
    <row r="539" spans="1:10" x14ac:dyDescent="0.25">
      <c r="A539">
        <v>46</v>
      </c>
      <c r="B539" t="s">
        <v>67</v>
      </c>
      <c r="C539">
        <v>-144428</v>
      </c>
      <c r="D539">
        <v>54.13333333333334</v>
      </c>
      <c r="E539">
        <v>138529</v>
      </c>
      <c r="F539">
        <v>-342294.81</v>
      </c>
      <c r="G539">
        <v>19913791</v>
      </c>
      <c r="H539" t="s">
        <v>82</v>
      </c>
      <c r="I539" t="s">
        <v>103</v>
      </c>
      <c r="J539">
        <v>19913.791000000001</v>
      </c>
    </row>
    <row r="540" spans="1:10" x14ac:dyDescent="0.25">
      <c r="A540">
        <v>49</v>
      </c>
      <c r="B540" t="s">
        <v>67</v>
      </c>
      <c r="C540">
        <v>-112321</v>
      </c>
      <c r="D540">
        <v>74.376666666666665</v>
      </c>
      <c r="E540">
        <v>461279</v>
      </c>
      <c r="F540">
        <v>-280283.78999999998</v>
      </c>
      <c r="G540">
        <v>142930488</v>
      </c>
      <c r="H540" t="s">
        <v>82</v>
      </c>
      <c r="I540" t="s">
        <v>104</v>
      </c>
      <c r="J540">
        <v>142930.48800000001</v>
      </c>
    </row>
    <row r="541" spans="1:10" x14ac:dyDescent="0.25">
      <c r="A541">
        <v>47</v>
      </c>
      <c r="B541" t="s">
        <v>67</v>
      </c>
      <c r="C541">
        <v>-99140</v>
      </c>
      <c r="D541">
        <v>69.48</v>
      </c>
      <c r="E541">
        <v>401922</v>
      </c>
      <c r="F541">
        <v>-250132.41999999998</v>
      </c>
      <c r="G541">
        <v>94284578</v>
      </c>
      <c r="H541" t="s">
        <v>82</v>
      </c>
      <c r="I541" t="s">
        <v>103</v>
      </c>
      <c r="J541">
        <v>94284.577999999994</v>
      </c>
    </row>
    <row r="542" spans="1:10" x14ac:dyDescent="0.25">
      <c r="A542">
        <v>47</v>
      </c>
      <c r="B542" t="s">
        <v>60</v>
      </c>
      <c r="C542">
        <v>-95932</v>
      </c>
      <c r="D542">
        <v>25.596666666666668</v>
      </c>
      <c r="E542">
        <v>76089</v>
      </c>
      <c r="F542">
        <v>-249978.86</v>
      </c>
      <c r="G542">
        <v>14859507</v>
      </c>
      <c r="H542" t="s">
        <v>82</v>
      </c>
      <c r="I542" t="s">
        <v>103</v>
      </c>
      <c r="J542">
        <v>14859.507</v>
      </c>
    </row>
    <row r="543" spans="1:10" x14ac:dyDescent="0.25">
      <c r="A543">
        <v>46</v>
      </c>
      <c r="B543" t="s">
        <v>60</v>
      </c>
      <c r="C543">
        <v>-80870</v>
      </c>
      <c r="D543">
        <v>21.69</v>
      </c>
      <c r="E543">
        <v>59502</v>
      </c>
      <c r="F543">
        <v>-222458.53999999998</v>
      </c>
      <c r="G543">
        <v>6747233</v>
      </c>
      <c r="H543" t="s">
        <v>82</v>
      </c>
      <c r="I543" t="s">
        <v>103</v>
      </c>
      <c r="J543">
        <v>6747.2330000000002</v>
      </c>
    </row>
    <row r="544" spans="1:10" x14ac:dyDescent="0.25">
      <c r="A544">
        <v>49</v>
      </c>
      <c r="B544" t="s">
        <v>68</v>
      </c>
      <c r="C544">
        <v>-91053</v>
      </c>
      <c r="D544">
        <v>70.313333333333333</v>
      </c>
      <c r="E544">
        <v>271196</v>
      </c>
      <c r="F544">
        <v>-216406.79</v>
      </c>
      <c r="G544">
        <v>70746673</v>
      </c>
      <c r="H544" t="s">
        <v>82</v>
      </c>
      <c r="I544" t="s">
        <v>104</v>
      </c>
      <c r="J544">
        <v>70746.672999999995</v>
      </c>
    </row>
    <row r="545" spans="1:10" x14ac:dyDescent="0.25">
      <c r="A545">
        <v>49</v>
      </c>
      <c r="B545" t="s">
        <v>60</v>
      </c>
      <c r="C545">
        <v>-59013</v>
      </c>
      <c r="D545">
        <v>44.523333333333333</v>
      </c>
      <c r="E545">
        <v>181505</v>
      </c>
      <c r="F545">
        <v>-218999.76</v>
      </c>
      <c r="G545">
        <v>47029701</v>
      </c>
      <c r="H545" t="s">
        <v>82</v>
      </c>
      <c r="I545" t="s">
        <v>104</v>
      </c>
      <c r="J545">
        <v>47029.701000000001</v>
      </c>
    </row>
    <row r="546" spans="1:10" x14ac:dyDescent="0.25">
      <c r="A546">
        <v>46</v>
      </c>
      <c r="B546" t="s">
        <v>61</v>
      </c>
      <c r="C546">
        <v>-115137</v>
      </c>
      <c r="D546">
        <v>41.7</v>
      </c>
      <c r="E546">
        <v>120468</v>
      </c>
      <c r="F546">
        <v>-182057.84</v>
      </c>
      <c r="G546">
        <v>26835532</v>
      </c>
      <c r="H546" t="s">
        <v>82</v>
      </c>
      <c r="I546" t="s">
        <v>103</v>
      </c>
      <c r="J546">
        <v>26835.531999999999</v>
      </c>
    </row>
    <row r="547" spans="1:10" x14ac:dyDescent="0.25">
      <c r="A547">
        <v>48</v>
      </c>
      <c r="B547" t="s">
        <v>60</v>
      </c>
      <c r="C547">
        <v>-157285</v>
      </c>
      <c r="D547">
        <v>40.606666666666669</v>
      </c>
      <c r="E547">
        <v>148442</v>
      </c>
      <c r="F547">
        <v>-202884.08</v>
      </c>
      <c r="G547">
        <v>25910706</v>
      </c>
      <c r="H547" t="s">
        <v>82</v>
      </c>
      <c r="I547" t="s">
        <v>103</v>
      </c>
      <c r="J547">
        <v>25910.705999999998</v>
      </c>
    </row>
    <row r="548" spans="1:10" x14ac:dyDescent="0.25">
      <c r="A548">
        <v>48</v>
      </c>
      <c r="B548" t="s">
        <v>68</v>
      </c>
      <c r="C548">
        <v>-126850</v>
      </c>
      <c r="D548">
        <v>65.566666666666663</v>
      </c>
      <c r="E548">
        <v>266729</v>
      </c>
      <c r="F548">
        <v>-183547.14</v>
      </c>
      <c r="G548">
        <v>46851965</v>
      </c>
      <c r="H548" t="s">
        <v>82</v>
      </c>
      <c r="I548" t="s">
        <v>103</v>
      </c>
      <c r="J548">
        <v>46851.964999999997</v>
      </c>
    </row>
    <row r="549" spans="1:10" x14ac:dyDescent="0.25">
      <c r="A549">
        <v>47</v>
      </c>
      <c r="B549" t="s">
        <v>68</v>
      </c>
      <c r="C549">
        <v>-51604</v>
      </c>
      <c r="D549">
        <v>62.646666666666661</v>
      </c>
      <c r="E549">
        <v>245098</v>
      </c>
      <c r="F549">
        <v>-171881.19999999998</v>
      </c>
      <c r="G549">
        <v>42076672</v>
      </c>
      <c r="H549" t="s">
        <v>82</v>
      </c>
      <c r="I549" t="s">
        <v>103</v>
      </c>
      <c r="J549">
        <v>42076.671999999999</v>
      </c>
    </row>
    <row r="550" spans="1:10" x14ac:dyDescent="0.25">
      <c r="A550">
        <v>50</v>
      </c>
      <c r="B550" t="s">
        <v>65</v>
      </c>
      <c r="C550">
        <v>63450</v>
      </c>
      <c r="D550">
        <v>82.173333333333332</v>
      </c>
      <c r="E550">
        <v>1499000</v>
      </c>
      <c r="F550">
        <v>-209350.62</v>
      </c>
      <c r="G550">
        <v>334889811</v>
      </c>
      <c r="H550" t="s">
        <v>82</v>
      </c>
      <c r="I550" t="s">
        <v>104</v>
      </c>
      <c r="J550">
        <v>334889.81099999999</v>
      </c>
    </row>
    <row r="551" spans="1:10" x14ac:dyDescent="0.25">
      <c r="A551">
        <v>48</v>
      </c>
      <c r="B551" t="s">
        <v>67</v>
      </c>
      <c r="C551">
        <v>-157305</v>
      </c>
      <c r="D551">
        <v>72.733333333333334</v>
      </c>
      <c r="E551">
        <v>498490</v>
      </c>
      <c r="F551">
        <v>-162624.28999999998</v>
      </c>
      <c r="G551">
        <v>103597136</v>
      </c>
      <c r="H551" t="s">
        <v>82</v>
      </c>
      <c r="I551" t="s">
        <v>103</v>
      </c>
      <c r="J551">
        <v>103597.136</v>
      </c>
    </row>
    <row r="552" spans="1:10" x14ac:dyDescent="0.25">
      <c r="A552">
        <v>50</v>
      </c>
      <c r="B552" t="s">
        <v>64</v>
      </c>
      <c r="C552">
        <v>347738</v>
      </c>
      <c r="D552">
        <v>82.63</v>
      </c>
      <c r="E552">
        <v>4007944</v>
      </c>
      <c r="F552">
        <v>-130328</v>
      </c>
      <c r="G552">
        <v>776986147</v>
      </c>
      <c r="H552" t="s">
        <v>82</v>
      </c>
      <c r="I552" t="s">
        <v>104</v>
      </c>
      <c r="J552">
        <v>776986.147</v>
      </c>
    </row>
    <row r="553" spans="1:10" x14ac:dyDescent="0.25">
      <c r="A553">
        <v>47</v>
      </c>
      <c r="B553" t="s">
        <v>61</v>
      </c>
      <c r="C553">
        <v>-41594</v>
      </c>
      <c r="D553">
        <v>51.263333333333328</v>
      </c>
      <c r="E553">
        <v>185964</v>
      </c>
      <c r="F553">
        <v>-113499.15</v>
      </c>
      <c r="G553">
        <v>52738508</v>
      </c>
      <c r="H553" t="s">
        <v>82</v>
      </c>
      <c r="I553" t="s">
        <v>103</v>
      </c>
      <c r="J553">
        <v>52738.508000000002</v>
      </c>
    </row>
    <row r="554" spans="1:10" x14ac:dyDescent="0.25">
      <c r="A554">
        <v>50</v>
      </c>
      <c r="B554" t="s">
        <v>60</v>
      </c>
      <c r="C554">
        <v>-1192</v>
      </c>
      <c r="D554">
        <v>80.260000000000005</v>
      </c>
      <c r="E554">
        <v>410021</v>
      </c>
      <c r="F554">
        <v>-67047.540000000008</v>
      </c>
      <c r="G554">
        <v>79194182</v>
      </c>
      <c r="H554" t="s">
        <v>82</v>
      </c>
      <c r="I554" t="s">
        <v>104</v>
      </c>
      <c r="J554">
        <v>79194.182000000001</v>
      </c>
    </row>
    <row r="555" spans="1:10" x14ac:dyDescent="0.25">
      <c r="A555">
        <v>46</v>
      </c>
      <c r="B555" t="s">
        <v>68</v>
      </c>
      <c r="C555">
        <v>17358</v>
      </c>
      <c r="D555">
        <v>44.84</v>
      </c>
      <c r="E555">
        <v>194261</v>
      </c>
      <c r="F555">
        <v>-80552.700000000012</v>
      </c>
      <c r="G555">
        <v>12766450</v>
      </c>
      <c r="H555" t="s">
        <v>82</v>
      </c>
      <c r="I555" t="s">
        <v>103</v>
      </c>
      <c r="J555">
        <v>12766.45</v>
      </c>
    </row>
    <row r="556" spans="1:10" x14ac:dyDescent="0.25">
      <c r="A556">
        <v>49</v>
      </c>
      <c r="B556" t="s">
        <v>61</v>
      </c>
      <c r="C556">
        <v>9309</v>
      </c>
      <c r="D556">
        <v>55.833333333333336</v>
      </c>
      <c r="E556">
        <v>263786</v>
      </c>
      <c r="F556">
        <v>-74731.03</v>
      </c>
      <c r="G556">
        <v>82741324</v>
      </c>
      <c r="H556" t="s">
        <v>82</v>
      </c>
      <c r="I556" t="s">
        <v>104</v>
      </c>
      <c r="J556">
        <v>82741.323999999993</v>
      </c>
    </row>
    <row r="557" spans="1:10" x14ac:dyDescent="0.25">
      <c r="A557">
        <v>50</v>
      </c>
      <c r="B557" t="s">
        <v>68</v>
      </c>
      <c r="C557">
        <v>18777</v>
      </c>
      <c r="D557">
        <v>80.073333333333338</v>
      </c>
      <c r="E557">
        <v>549354</v>
      </c>
      <c r="F557">
        <v>-64128.369999999995</v>
      </c>
      <c r="G557">
        <v>122504027</v>
      </c>
      <c r="H557" t="s">
        <v>82</v>
      </c>
      <c r="I557" t="s">
        <v>104</v>
      </c>
      <c r="J557">
        <v>122504.027</v>
      </c>
    </row>
    <row r="558" spans="1:10" x14ac:dyDescent="0.25">
      <c r="A558">
        <v>50</v>
      </c>
      <c r="B558" t="s">
        <v>66</v>
      </c>
      <c r="C558">
        <v>329064</v>
      </c>
      <c r="D558">
        <v>76.486666666666665</v>
      </c>
      <c r="E558">
        <v>1525762</v>
      </c>
      <c r="F558">
        <v>-42512</v>
      </c>
      <c r="G558">
        <v>278361625</v>
      </c>
      <c r="H558" t="s">
        <v>82</v>
      </c>
      <c r="I558" t="s">
        <v>104</v>
      </c>
      <c r="J558">
        <v>278361.625</v>
      </c>
    </row>
    <row r="559" spans="1:10" x14ac:dyDescent="0.25">
      <c r="A559">
        <v>48</v>
      </c>
      <c r="B559" t="s">
        <v>61</v>
      </c>
      <c r="C559">
        <v>-35260</v>
      </c>
      <c r="D559">
        <v>58.823333333333338</v>
      </c>
      <c r="E559">
        <v>233413</v>
      </c>
      <c r="F559">
        <v>-28195.67</v>
      </c>
      <c r="G559">
        <v>52769639</v>
      </c>
      <c r="H559" t="s">
        <v>82</v>
      </c>
      <c r="I559" t="s">
        <v>103</v>
      </c>
      <c r="J559">
        <v>52769.639000000003</v>
      </c>
    </row>
    <row r="560" spans="1:10" x14ac:dyDescent="0.25">
      <c r="A560">
        <v>50</v>
      </c>
      <c r="B560" t="s">
        <v>61</v>
      </c>
      <c r="C560">
        <v>97910</v>
      </c>
      <c r="D560">
        <v>70.72</v>
      </c>
      <c r="E560">
        <v>471883</v>
      </c>
      <c r="F560">
        <v>80454.48</v>
      </c>
      <c r="G560">
        <v>109643039</v>
      </c>
      <c r="H560" t="s">
        <v>82</v>
      </c>
      <c r="I560" t="s">
        <v>104</v>
      </c>
      <c r="J560">
        <v>109643.039</v>
      </c>
    </row>
    <row r="561" spans="1:10" x14ac:dyDescent="0.25">
      <c r="A561">
        <v>50</v>
      </c>
      <c r="B561" t="s">
        <v>67</v>
      </c>
      <c r="C561">
        <v>-287863</v>
      </c>
      <c r="D561">
        <v>85.033333333333331</v>
      </c>
      <c r="E561">
        <v>859309</v>
      </c>
      <c r="F561">
        <v>-22362.27</v>
      </c>
      <c r="G561">
        <v>214824639</v>
      </c>
      <c r="H561" t="s">
        <v>82</v>
      </c>
      <c r="I561" t="s">
        <v>104</v>
      </c>
      <c r="J561">
        <v>214824.639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AD379-B944-4DBE-8F08-D1A8E31417CA}">
  <sheetPr>
    <tabColor theme="5" tint="-0.249977111117893"/>
  </sheetPr>
  <dimension ref="A1:C57"/>
  <sheetViews>
    <sheetView workbookViewId="0">
      <selection activeCell="E10" sqref="E10"/>
    </sheetView>
  </sheetViews>
  <sheetFormatPr defaultRowHeight="15" x14ac:dyDescent="0.25"/>
  <cols>
    <col min="1" max="1" width="11.7109375" bestFit="1" customWidth="1"/>
    <col min="2" max="2" width="19.140625" bestFit="1" customWidth="1"/>
    <col min="3" max="3" width="12.85546875" bestFit="1" customWidth="1"/>
    <col min="4" max="4" width="19.140625" customWidth="1"/>
  </cols>
  <sheetData>
    <row r="1" spans="1:3" x14ac:dyDescent="0.25">
      <c r="A1" t="s">
        <v>75</v>
      </c>
      <c r="B1" t="s">
        <v>73</v>
      </c>
      <c r="C1" t="s">
        <v>102</v>
      </c>
    </row>
    <row r="2" spans="1:3" x14ac:dyDescent="0.25">
      <c r="A2">
        <v>1</v>
      </c>
      <c r="B2">
        <v>45.366666666666667</v>
      </c>
      <c r="C2" t="s">
        <v>103</v>
      </c>
    </row>
    <row r="3" spans="1:3" x14ac:dyDescent="0.25">
      <c r="A3">
        <v>2</v>
      </c>
      <c r="B3">
        <v>62.44</v>
      </c>
      <c r="C3" t="s">
        <v>104</v>
      </c>
    </row>
    <row r="4" spans="1:3" x14ac:dyDescent="0.25">
      <c r="A4">
        <v>3</v>
      </c>
      <c r="B4">
        <v>70.006666666666661</v>
      </c>
      <c r="C4" t="s">
        <v>104</v>
      </c>
    </row>
    <row r="5" spans="1:3" x14ac:dyDescent="0.25">
      <c r="A5">
        <v>4</v>
      </c>
      <c r="B5">
        <v>77.88</v>
      </c>
      <c r="C5" t="s">
        <v>104</v>
      </c>
    </row>
    <row r="6" spans="1:3" x14ac:dyDescent="0.25">
      <c r="A6">
        <v>5</v>
      </c>
      <c r="B6">
        <v>78.77</v>
      </c>
      <c r="C6" t="s">
        <v>104</v>
      </c>
    </row>
    <row r="7" spans="1:3" x14ac:dyDescent="0.25">
      <c r="A7">
        <v>6</v>
      </c>
      <c r="B7">
        <v>78.583333333333329</v>
      </c>
      <c r="C7" t="s">
        <v>104</v>
      </c>
    </row>
    <row r="8" spans="1:3" x14ac:dyDescent="0.25">
      <c r="A8">
        <v>7</v>
      </c>
      <c r="B8">
        <v>76.946666666666673</v>
      </c>
      <c r="C8" t="s">
        <v>104</v>
      </c>
    </row>
    <row r="9" spans="1:3" x14ac:dyDescent="0.25">
      <c r="A9">
        <v>8</v>
      </c>
      <c r="B9">
        <v>85.64</v>
      </c>
      <c r="C9" t="s">
        <v>105</v>
      </c>
    </row>
    <row r="10" spans="1:3" x14ac:dyDescent="0.25">
      <c r="A10">
        <v>9</v>
      </c>
      <c r="B10">
        <v>98.626666666666665</v>
      </c>
      <c r="C10" t="s">
        <v>105</v>
      </c>
    </row>
    <row r="11" spans="1:3" x14ac:dyDescent="0.25">
      <c r="A11">
        <v>10</v>
      </c>
      <c r="B11">
        <v>104.01666666666667</v>
      </c>
      <c r="C11" t="s">
        <v>106</v>
      </c>
    </row>
    <row r="12" spans="1:3" x14ac:dyDescent="0.25">
      <c r="A12">
        <v>11</v>
      </c>
      <c r="B12">
        <v>87.903333333333336</v>
      </c>
      <c r="C12" t="s">
        <v>105</v>
      </c>
    </row>
    <row r="13" spans="1:3" x14ac:dyDescent="0.25">
      <c r="A13">
        <v>12</v>
      </c>
      <c r="B13">
        <v>97.46</v>
      </c>
      <c r="C13" t="s">
        <v>105</v>
      </c>
    </row>
    <row r="14" spans="1:3" x14ac:dyDescent="0.25">
      <c r="A14">
        <v>13</v>
      </c>
      <c r="B14">
        <v>102.85666666666667</v>
      </c>
      <c r="C14" t="s">
        <v>106</v>
      </c>
    </row>
    <row r="15" spans="1:3" x14ac:dyDescent="0.25">
      <c r="A15">
        <v>14</v>
      </c>
      <c r="B15">
        <v>92.12</v>
      </c>
      <c r="C15" t="s">
        <v>105</v>
      </c>
    </row>
    <row r="16" spans="1:3" x14ac:dyDescent="0.25">
      <c r="A16">
        <v>15</v>
      </c>
      <c r="B16">
        <v>92.24</v>
      </c>
      <c r="C16" t="s">
        <v>105</v>
      </c>
    </row>
    <row r="17" spans="1:3" x14ac:dyDescent="0.25">
      <c r="A17">
        <v>16</v>
      </c>
      <c r="B17">
        <v>88.99</v>
      </c>
      <c r="C17" t="s">
        <v>105</v>
      </c>
    </row>
    <row r="18" spans="1:3" x14ac:dyDescent="0.25">
      <c r="A18">
        <v>17</v>
      </c>
      <c r="B18">
        <v>95.59</v>
      </c>
      <c r="C18" t="s">
        <v>105</v>
      </c>
    </row>
    <row r="19" spans="1:3" x14ac:dyDescent="0.25">
      <c r="A19">
        <v>18</v>
      </c>
      <c r="B19">
        <v>93.99666666666667</v>
      </c>
      <c r="C19" t="s">
        <v>105</v>
      </c>
    </row>
    <row r="20" spans="1:3" x14ac:dyDescent="0.25">
      <c r="A20">
        <v>19</v>
      </c>
      <c r="B20">
        <v>105.00333333333333</v>
      </c>
      <c r="C20" t="s">
        <v>106</v>
      </c>
    </row>
    <row r="21" spans="1:3" x14ac:dyDescent="0.25">
      <c r="A21">
        <v>20</v>
      </c>
      <c r="B21">
        <v>95.84</v>
      </c>
      <c r="C21" t="s">
        <v>105</v>
      </c>
    </row>
    <row r="22" spans="1:3" x14ac:dyDescent="0.25">
      <c r="A22">
        <v>21</v>
      </c>
      <c r="B22">
        <v>100.55333333333333</v>
      </c>
      <c r="C22" t="s">
        <v>106</v>
      </c>
    </row>
    <row r="23" spans="1:3" x14ac:dyDescent="0.25">
      <c r="A23">
        <v>22</v>
      </c>
      <c r="B23">
        <v>102.60666666666667</v>
      </c>
      <c r="C23" t="s">
        <v>106</v>
      </c>
    </row>
    <row r="24" spans="1:3" x14ac:dyDescent="0.25">
      <c r="A24">
        <v>23</v>
      </c>
      <c r="B24">
        <v>95.096666666666664</v>
      </c>
      <c r="C24" t="s">
        <v>105</v>
      </c>
    </row>
    <row r="25" spans="1:3" x14ac:dyDescent="0.25">
      <c r="A25">
        <v>24</v>
      </c>
      <c r="B25">
        <v>66.653333333333336</v>
      </c>
      <c r="C25" t="s">
        <v>104</v>
      </c>
    </row>
    <row r="26" spans="1:3" x14ac:dyDescent="0.25">
      <c r="A26">
        <v>25</v>
      </c>
      <c r="B26">
        <v>48.533333333333331</v>
      </c>
      <c r="C26" t="s">
        <v>103</v>
      </c>
    </row>
    <row r="27" spans="1:3" x14ac:dyDescent="0.25">
      <c r="A27">
        <v>26</v>
      </c>
      <c r="B27">
        <v>59.8</v>
      </c>
      <c r="C27" t="s">
        <v>104</v>
      </c>
    </row>
    <row r="28" spans="1:3" x14ac:dyDescent="0.25">
      <c r="A28">
        <v>27</v>
      </c>
      <c r="B28">
        <v>47.13666666666667</v>
      </c>
      <c r="C28" t="s">
        <v>103</v>
      </c>
    </row>
    <row r="29" spans="1:3" x14ac:dyDescent="0.25">
      <c r="A29">
        <v>28</v>
      </c>
      <c r="B29">
        <v>41.76</v>
      </c>
      <c r="C29" t="s">
        <v>103</v>
      </c>
    </row>
    <row r="30" spans="1:3" x14ac:dyDescent="0.25">
      <c r="A30">
        <v>29</v>
      </c>
      <c r="B30">
        <v>35.236666666666665</v>
      </c>
      <c r="C30" t="s">
        <v>103</v>
      </c>
    </row>
    <row r="31" spans="1:3" x14ac:dyDescent="0.25">
      <c r="A31">
        <v>30</v>
      </c>
      <c r="B31">
        <v>47.783333333333331</v>
      </c>
      <c r="C31" t="s">
        <v>103</v>
      </c>
    </row>
    <row r="32" spans="1:3" x14ac:dyDescent="0.25">
      <c r="A32">
        <v>31</v>
      </c>
      <c r="B32">
        <v>44.846666666666671</v>
      </c>
      <c r="C32" t="s">
        <v>103</v>
      </c>
    </row>
    <row r="33" spans="1:3" x14ac:dyDescent="0.25">
      <c r="A33">
        <v>32</v>
      </c>
      <c r="B33">
        <v>50.006666666666668</v>
      </c>
      <c r="C33" t="s">
        <v>104</v>
      </c>
    </row>
    <row r="34" spans="1:3" x14ac:dyDescent="0.25">
      <c r="A34">
        <v>33</v>
      </c>
      <c r="B34">
        <v>52.473333333333336</v>
      </c>
      <c r="C34" t="s">
        <v>104</v>
      </c>
    </row>
    <row r="35" spans="1:3" x14ac:dyDescent="0.25">
      <c r="A35">
        <v>34</v>
      </c>
      <c r="B35">
        <v>47.856666666666669</v>
      </c>
      <c r="C35" t="s">
        <v>103</v>
      </c>
    </row>
    <row r="36" spans="1:3" x14ac:dyDescent="0.25">
      <c r="A36">
        <v>35</v>
      </c>
      <c r="B36">
        <v>49.69</v>
      </c>
      <c r="C36" t="s">
        <v>103</v>
      </c>
    </row>
    <row r="37" spans="1:3" x14ac:dyDescent="0.25">
      <c r="A37">
        <v>36</v>
      </c>
      <c r="B37">
        <v>57.4</v>
      </c>
      <c r="C37" t="s">
        <v>104</v>
      </c>
    </row>
    <row r="38" spans="1:3" x14ac:dyDescent="0.25">
      <c r="A38">
        <v>37</v>
      </c>
      <c r="B38">
        <v>63.77</v>
      </c>
      <c r="C38" t="s">
        <v>104</v>
      </c>
    </row>
    <row r="39" spans="1:3" x14ac:dyDescent="0.25">
      <c r="A39">
        <v>38</v>
      </c>
      <c r="B39">
        <v>69.92</v>
      </c>
      <c r="C39" t="s">
        <v>104</v>
      </c>
    </row>
    <row r="40" spans="1:3" x14ac:dyDescent="0.25">
      <c r="A40">
        <v>39</v>
      </c>
      <c r="B40">
        <v>70.785633333333337</v>
      </c>
      <c r="C40" t="s">
        <v>104</v>
      </c>
    </row>
    <row r="41" spans="1:3" x14ac:dyDescent="0.25">
      <c r="A41">
        <v>40</v>
      </c>
      <c r="B41">
        <v>53.883333333333333</v>
      </c>
      <c r="C41" t="s">
        <v>104</v>
      </c>
    </row>
    <row r="42" spans="1:3" x14ac:dyDescent="0.25">
      <c r="A42">
        <v>41</v>
      </c>
      <c r="B42">
        <v>57.05</v>
      </c>
      <c r="C42" t="s">
        <v>104</v>
      </c>
    </row>
    <row r="43" spans="1:3" x14ac:dyDescent="0.25">
      <c r="A43">
        <v>42</v>
      </c>
      <c r="B43">
        <v>58.956699999999998</v>
      </c>
      <c r="C43" t="s">
        <v>104</v>
      </c>
    </row>
    <row r="44" spans="1:3" x14ac:dyDescent="0.25">
      <c r="A44">
        <v>43</v>
      </c>
      <c r="B44">
        <v>55.916666666666664</v>
      </c>
      <c r="C44" t="s">
        <v>104</v>
      </c>
    </row>
    <row r="45" spans="1:3" x14ac:dyDescent="0.25">
      <c r="A45">
        <v>44</v>
      </c>
      <c r="B45">
        <v>56.807600000000001</v>
      </c>
      <c r="C45" t="s">
        <v>104</v>
      </c>
    </row>
    <row r="46" spans="1:3" x14ac:dyDescent="0.25">
      <c r="A46">
        <v>45</v>
      </c>
      <c r="B46">
        <v>38.93333333333333</v>
      </c>
      <c r="C46" t="s">
        <v>103</v>
      </c>
    </row>
    <row r="47" spans="1:3" x14ac:dyDescent="0.25">
      <c r="A47">
        <v>46</v>
      </c>
      <c r="B47">
        <v>31.200000000000003</v>
      </c>
      <c r="C47" t="s">
        <v>103</v>
      </c>
    </row>
    <row r="48" spans="1:3" x14ac:dyDescent="0.25">
      <c r="A48">
        <v>47</v>
      </c>
      <c r="B48">
        <v>41.033333333333331</v>
      </c>
      <c r="C48" t="s">
        <v>103</v>
      </c>
    </row>
    <row r="49" spans="1:3" x14ac:dyDescent="0.25">
      <c r="A49">
        <v>48</v>
      </c>
      <c r="B49">
        <v>43.216666666666669</v>
      </c>
      <c r="C49" t="s">
        <v>103</v>
      </c>
    </row>
    <row r="50" spans="1:3" x14ac:dyDescent="0.25">
      <c r="A50">
        <v>49</v>
      </c>
      <c r="B50">
        <v>57.62</v>
      </c>
      <c r="C50" t="s">
        <v>104</v>
      </c>
    </row>
    <row r="51" spans="1:3" x14ac:dyDescent="0.25">
      <c r="A51">
        <v>50</v>
      </c>
      <c r="B51">
        <v>67.993333333333339</v>
      </c>
      <c r="C51" t="s">
        <v>104</v>
      </c>
    </row>
    <row r="52" spans="1:3" x14ac:dyDescent="0.25">
      <c r="A52">
        <v>51</v>
      </c>
      <c r="B52">
        <v>72.493333333333339</v>
      </c>
      <c r="C52" t="s">
        <v>104</v>
      </c>
    </row>
    <row r="53" spans="1:3" x14ac:dyDescent="0.25">
      <c r="A53">
        <v>52</v>
      </c>
      <c r="B53">
        <v>74.17</v>
      </c>
      <c r="C53" t="s">
        <v>104</v>
      </c>
    </row>
    <row r="54" spans="1:3" x14ac:dyDescent="0.25">
      <c r="A54">
        <v>53</v>
      </c>
      <c r="B54">
        <v>92.836666666666659</v>
      </c>
      <c r="C54" t="s">
        <v>105</v>
      </c>
    </row>
    <row r="55" spans="1:3" x14ac:dyDescent="0.25">
      <c r="A55">
        <v>54</v>
      </c>
      <c r="B55">
        <v>105.98333333333333</v>
      </c>
      <c r="C55" t="s">
        <v>106</v>
      </c>
    </row>
    <row r="56" spans="1:3" x14ac:dyDescent="0.25">
      <c r="A56">
        <v>55</v>
      </c>
      <c r="B56">
        <v>88.166666666666671</v>
      </c>
      <c r="C56" t="s">
        <v>105</v>
      </c>
    </row>
    <row r="57" spans="1:3" x14ac:dyDescent="0.25">
      <c r="A57">
        <v>56</v>
      </c>
      <c r="B57">
        <v>82.17</v>
      </c>
      <c r="C57" t="s">
        <v>105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C0B83-0B50-4F0F-9C47-F509054DDFDD}">
  <sheetPr>
    <tabColor theme="8" tint="0.39997558519241921"/>
  </sheetPr>
  <dimension ref="A1:B4"/>
  <sheetViews>
    <sheetView workbookViewId="0">
      <selection activeCell="C13" sqref="C13"/>
    </sheetView>
  </sheetViews>
  <sheetFormatPr defaultRowHeight="15" x14ac:dyDescent="0.25"/>
  <cols>
    <col min="1" max="1" width="11.7109375" bestFit="1" customWidth="1"/>
    <col min="2" max="2" width="28.140625" bestFit="1" customWidth="1"/>
    <col min="3" max="3" width="28.140625" customWidth="1"/>
  </cols>
  <sheetData>
    <row r="1" spans="1:2" x14ac:dyDescent="0.25">
      <c r="A1" t="s">
        <v>75</v>
      </c>
      <c r="B1" t="s">
        <v>74</v>
      </c>
    </row>
    <row r="2" spans="1:2" x14ac:dyDescent="0.25">
      <c r="A2">
        <v>45</v>
      </c>
      <c r="B2">
        <v>188724</v>
      </c>
    </row>
    <row r="3" spans="1:2" x14ac:dyDescent="0.25">
      <c r="A3">
        <v>46</v>
      </c>
      <c r="B3">
        <v>2636414</v>
      </c>
    </row>
    <row r="4" spans="1:2" x14ac:dyDescent="0.25">
      <c r="A4">
        <v>47</v>
      </c>
      <c r="B4">
        <v>4290259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Props1.xml><?xml version="1.0" encoding="utf-8"?>
<ds:datastoreItem xmlns:ds="http://schemas.openxmlformats.org/officeDocument/2006/customXml" ds:itemID="{468C624C-0F6F-46C2-AC60-9327EEADE257}">
  <ds:schemaRefs/>
</ds:datastoreItem>
</file>

<file path=customXml/itemProps2.xml><?xml version="1.0" encoding="utf-8"?>
<ds:datastoreItem xmlns:ds="http://schemas.openxmlformats.org/officeDocument/2006/customXml" ds:itemID="{8A4A77D5-2A6E-41D4-90C6-78058F22FF77}">
  <ds:schemaRefs/>
</ds:datastoreItem>
</file>

<file path=customXml/itemProps3.xml><?xml version="1.0" encoding="utf-8"?>
<ds:datastoreItem xmlns:ds="http://schemas.openxmlformats.org/officeDocument/2006/customXml" ds:itemID="{B31EB6DC-B03C-471D-8FB0-48533368711C}">
  <ds:schemaRefs/>
</ds:datastoreItem>
</file>

<file path=customXml/itemProps4.xml><?xml version="1.0" encoding="utf-8"?>
<ds:datastoreItem xmlns:ds="http://schemas.openxmlformats.org/officeDocument/2006/customXml" ds:itemID="{50DCC311-BBF1-4C7A-925C-82AC23DA7826}">
  <ds:schemaRefs/>
</ds:datastoreItem>
</file>

<file path=customXml/itemProps5.xml><?xml version="1.0" encoding="utf-8"?>
<ds:datastoreItem xmlns:ds="http://schemas.openxmlformats.org/officeDocument/2006/customXml" ds:itemID="{8BD3E675-910D-484C-B37A-6C2EFA3FF23D}">
  <ds:schemaRefs/>
</ds:datastoreItem>
</file>

<file path=customXml/itemProps6.xml><?xml version="1.0" encoding="utf-8"?>
<ds:datastoreItem xmlns:ds="http://schemas.openxmlformats.org/officeDocument/2006/customXml" ds:itemID="{D92FFE44-73CC-401C-80FB-692593E0AF93}">
  <ds:schemaRefs/>
</ds:datastoreItem>
</file>

<file path=customXml/itemProps7.xml><?xml version="1.0" encoding="utf-8"?>
<ds:datastoreItem xmlns:ds="http://schemas.openxmlformats.org/officeDocument/2006/customXml" ds:itemID="{0E948F1B-CF91-49D7-9DA3-1D25958C7FD7}">
  <ds:schemaRefs/>
</ds:datastoreItem>
</file>

<file path=customXml/itemProps8.xml><?xml version="1.0" encoding="utf-8"?>
<ds:datastoreItem xmlns:ds="http://schemas.openxmlformats.org/officeDocument/2006/customXml" ds:itemID="{4F6FB463-4866-48D2-83E6-595DE5724051}">
  <ds:schemaRefs/>
</ds:datastoreItem>
</file>

<file path=customXml/itemProps9.xml><?xml version="1.0" encoding="utf-8"?>
<ds:datastoreItem xmlns:ds="http://schemas.openxmlformats.org/officeDocument/2006/customXml" ds:itemID="{63570D69-7EF4-477F-BCCB-4A299392C40C}">
  <ds:schemaRefs/>
</ds:datastoreItem>
</file>

<file path=customXml/itemProps10.xml><?xml version="1.0" encoding="utf-8"?>
<ds:datastoreItem xmlns:ds="http://schemas.openxmlformats.org/officeDocument/2006/customXml" ds:itemID="{A341AEB6-E518-410E-A82E-52004DC45C56}">
  <ds:schemaRefs/>
</ds:datastoreItem>
</file>

<file path=customXml/itemProps11.xml><?xml version="1.0" encoding="utf-8"?>
<ds:datastoreItem xmlns:ds="http://schemas.openxmlformats.org/officeDocument/2006/customXml" ds:itemID="{824FFC37-48FA-4DD0-B1D3-D47A5C71C0E1}">
  <ds:schemaRefs>
    <ds:schemaRef ds:uri="http://schemas.microsoft.com/DataMashup"/>
  </ds:schemaRefs>
</ds:datastoreItem>
</file>

<file path=customXml/itemProps12.xml><?xml version="1.0" encoding="utf-8"?>
<ds:datastoreItem xmlns:ds="http://schemas.openxmlformats.org/officeDocument/2006/customXml" ds:itemID="{3B300DA1-BE72-4D20-834C-1428FE5B4B99}">
  <ds:schemaRefs/>
</ds:datastoreItem>
</file>

<file path=customXml/itemProps13.xml><?xml version="1.0" encoding="utf-8"?>
<ds:datastoreItem xmlns:ds="http://schemas.openxmlformats.org/officeDocument/2006/customXml" ds:itemID="{E694D12E-200C-4C2C-B79C-D9051D4F6D5D}">
  <ds:schemaRefs/>
</ds:datastoreItem>
</file>

<file path=customXml/itemProps14.xml><?xml version="1.0" encoding="utf-8"?>
<ds:datastoreItem xmlns:ds="http://schemas.openxmlformats.org/officeDocument/2006/customXml" ds:itemID="{19C2D903-16AE-4225-AC01-4B053C3C5FBE}">
  <ds:schemaRefs/>
</ds:datastoreItem>
</file>

<file path=customXml/itemProps15.xml><?xml version="1.0" encoding="utf-8"?>
<ds:datastoreItem xmlns:ds="http://schemas.openxmlformats.org/officeDocument/2006/customXml" ds:itemID="{E18BAC10-26DD-47E3-97DC-A9FFB19864A2}">
  <ds:schemaRefs/>
</ds:datastoreItem>
</file>

<file path=customXml/itemProps16.xml><?xml version="1.0" encoding="utf-8"?>
<ds:datastoreItem xmlns:ds="http://schemas.openxmlformats.org/officeDocument/2006/customXml" ds:itemID="{162905D6-03E6-4F72-9C88-1D978E7AFF00}">
  <ds:schemaRefs/>
</ds:datastoreItem>
</file>

<file path=customXml/itemProps17.xml><?xml version="1.0" encoding="utf-8"?>
<ds:datastoreItem xmlns:ds="http://schemas.openxmlformats.org/officeDocument/2006/customXml" ds:itemID="{376B7899-2C78-49F2-A184-96C3015D2F0A}">
  <ds:schemaRefs/>
</ds:datastoreItem>
</file>

<file path=customXml/itemProps18.xml><?xml version="1.0" encoding="utf-8"?>
<ds:datastoreItem xmlns:ds="http://schemas.openxmlformats.org/officeDocument/2006/customXml" ds:itemID="{6429BE4A-9B64-479C-BA66-0A55ACF3CE2C}">
  <ds:schemaRefs/>
</ds:datastoreItem>
</file>

<file path=customXml/itemProps19.xml><?xml version="1.0" encoding="utf-8"?>
<ds:datastoreItem xmlns:ds="http://schemas.openxmlformats.org/officeDocument/2006/customXml" ds:itemID="{154238AB-227B-43DD-AF91-B78E8929696A}">
  <ds:schemaRefs/>
</ds:datastoreItem>
</file>

<file path=customXml/itemProps20.xml><?xml version="1.0" encoding="utf-8"?>
<ds:datastoreItem xmlns:ds="http://schemas.openxmlformats.org/officeDocument/2006/customXml" ds:itemID="{45B19296-D28B-4818-8461-65FDF6E01D02}">
  <ds:schemaRefs/>
</ds:datastoreItem>
</file>

<file path=customXml/itemProps21.xml><?xml version="1.0" encoding="utf-8"?>
<ds:datastoreItem xmlns:ds="http://schemas.openxmlformats.org/officeDocument/2006/customXml" ds:itemID="{8B9B5BDC-E347-45F4-8E92-AD34E14BDBAA}">
  <ds:schemaRefs/>
</ds:datastoreItem>
</file>

<file path=customXml/itemProps22.xml><?xml version="1.0" encoding="utf-8"?>
<ds:datastoreItem xmlns:ds="http://schemas.openxmlformats.org/officeDocument/2006/customXml" ds:itemID="{1E091DF5-5245-4037-8932-BFC5E2FC371B}">
  <ds:schemaRefs/>
</ds:datastoreItem>
</file>

<file path=customXml/itemProps23.xml><?xml version="1.0" encoding="utf-8"?>
<ds:datastoreItem xmlns:ds="http://schemas.openxmlformats.org/officeDocument/2006/customXml" ds:itemID="{60B3F15D-4B79-48F1-9B11-0972705C70DE}">
  <ds:schemaRefs/>
</ds:datastoreItem>
</file>

<file path=customXml/itemProps24.xml><?xml version="1.0" encoding="utf-8"?>
<ds:datastoreItem xmlns:ds="http://schemas.openxmlformats.org/officeDocument/2006/customXml" ds:itemID="{0DC12555-D76F-4B9C-9283-D356942B5192}">
  <ds:schemaRefs/>
</ds:datastoreItem>
</file>

<file path=customXml/itemProps25.xml><?xml version="1.0" encoding="utf-8"?>
<ds:datastoreItem xmlns:ds="http://schemas.openxmlformats.org/officeDocument/2006/customXml" ds:itemID="{FCC7833B-C4D8-407A-80E9-0AB279E0A337}">
  <ds:schemaRefs/>
</ds:datastoreItem>
</file>

<file path=customXml/itemProps26.xml><?xml version="1.0" encoding="utf-8"?>
<ds:datastoreItem xmlns:ds="http://schemas.openxmlformats.org/officeDocument/2006/customXml" ds:itemID="{BE28CCEE-6C3A-4D9D-9653-86AB4261B1E8}">
  <ds:schemaRefs/>
</ds:datastoreItem>
</file>

<file path=customXml/itemProps27.xml><?xml version="1.0" encoding="utf-8"?>
<ds:datastoreItem xmlns:ds="http://schemas.openxmlformats.org/officeDocument/2006/customXml" ds:itemID="{83AB24D1-1054-4017-ACAB-3C5C9FEADE30}">
  <ds:schemaRefs/>
</ds:datastoreItem>
</file>

<file path=customXml/itemProps28.xml><?xml version="1.0" encoding="utf-8"?>
<ds:datastoreItem xmlns:ds="http://schemas.openxmlformats.org/officeDocument/2006/customXml" ds:itemID="{8C7C2926-033D-4F21-A091-9D5AA4411B5A}">
  <ds:schemaRefs/>
</ds:datastoreItem>
</file>

<file path=customXml/itemProps29.xml><?xml version="1.0" encoding="utf-8"?>
<ds:datastoreItem xmlns:ds="http://schemas.openxmlformats.org/officeDocument/2006/customXml" ds:itemID="{88E3F7F1-3AA4-4BB3-821C-4216283FE5EE}">
  <ds:schemaRefs/>
</ds:datastoreItem>
</file>

<file path=customXml/itemProps30.xml><?xml version="1.0" encoding="utf-8"?>
<ds:datastoreItem xmlns:ds="http://schemas.openxmlformats.org/officeDocument/2006/customXml" ds:itemID="{E07964A8-2233-48E3-A31C-3F6BEEDE5E7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Dim_Time</vt:lpstr>
      <vt:lpstr>PVT</vt:lpstr>
      <vt:lpstr>PVT_Charts</vt:lpstr>
      <vt:lpstr>Dashboard</vt:lpstr>
      <vt:lpstr>Fact_Financials_Master</vt:lpstr>
      <vt:lpstr>Oil_Prices_Avg_Qtr</vt:lpstr>
      <vt:lpstr>covid_19_clean_complete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Ahmed Ayman Ahmed Saleh Ahmed Ibrahim 2400577</dc:creator>
  <cp:lastModifiedBy>Ahmed Ayman Ahmed Saleh Ahmed Ibrahim 2400577</cp:lastModifiedBy>
  <dcterms:created xsi:type="dcterms:W3CDTF">2026-06-21T18:40:10Z</dcterms:created>
  <dcterms:modified xsi:type="dcterms:W3CDTF">2026-07-09T13:30:27Z</dcterms:modified>
</cp:coreProperties>
</file>