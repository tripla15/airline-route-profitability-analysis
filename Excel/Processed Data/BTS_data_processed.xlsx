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Engineering 2nd year\Extracurriculars\1. DEPI\Final Project\Excel\Processed Data\"/>
    </mc:Choice>
  </mc:AlternateContent>
  <xr:revisionPtr revIDLastSave="0" documentId="13_ncr:1_{23F1A894-17BA-4C86-81FE-4C5FCA5F1006}" xr6:coauthVersionLast="47" xr6:coauthVersionMax="47" xr10:uidLastSave="{00000000-0000-0000-0000-000000000000}"/>
  <bookViews>
    <workbookView xWindow="-120" yWindow="-120" windowWidth="20730" windowHeight="11760" xr2:uid="{FEA2879F-555D-4A48-881E-D627BA09B4B3}"/>
  </bookViews>
  <sheets>
    <sheet name="Fact_Financials_Master" sheetId="7" r:id="rId1"/>
    <sheet name="Fuel_Costs" sheetId="6" r:id="rId2"/>
    <sheet name="Operating_Income" sheetId="5" r:id="rId3"/>
    <sheet name="Operating_Revenue" sheetId="4" r:id="rId4"/>
    <sheet name="Load_Factor" sheetId="3" r:id="rId5"/>
    <sheet name="Net_Income" sheetId="2" r:id="rId6"/>
    <sheet name="Sheet1" sheetId="1" r:id="rId7"/>
  </sheets>
  <definedNames>
    <definedName name="ExternalData_1" localSheetId="5" hidden="1">Net_Income!$A$1:$C$561</definedName>
    <definedName name="ExternalData_2" localSheetId="4" hidden="1">Load_Factor!$A$1:$C$561</definedName>
    <definedName name="ExternalData_3" localSheetId="3" hidden="1">Operating_Revenue!$A$1:$C$561</definedName>
    <definedName name="ExternalData_4" localSheetId="2" hidden="1">Operating_Income!$A$1:$C$561</definedName>
    <definedName name="ExternalData_5" localSheetId="1" hidden="1">Fuel_Costs!$A$1:$C$561</definedName>
    <definedName name="ExternalData_6" localSheetId="0" hidden="1">Fact_Financials_Master!$A$1:$G$561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" i="7" l="1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523" i="7"/>
  <c r="H524" i="7"/>
  <c r="H525" i="7"/>
  <c r="H526" i="7"/>
  <c r="H527" i="7"/>
  <c r="H528" i="7"/>
  <c r="H529" i="7"/>
  <c r="H530" i="7"/>
  <c r="H531" i="7"/>
  <c r="H532" i="7"/>
  <c r="H533" i="7"/>
  <c r="H534" i="7"/>
  <c r="H535" i="7"/>
  <c r="H536" i="7"/>
  <c r="H537" i="7"/>
  <c r="H538" i="7"/>
  <c r="H539" i="7"/>
  <c r="H540" i="7"/>
  <c r="H541" i="7"/>
  <c r="H542" i="7"/>
  <c r="H543" i="7"/>
  <c r="H544" i="7"/>
  <c r="H545" i="7"/>
  <c r="H546" i="7"/>
  <c r="H547" i="7"/>
  <c r="H548" i="7"/>
  <c r="H549" i="7"/>
  <c r="H550" i="7"/>
  <c r="H551" i="7"/>
  <c r="H552" i="7"/>
  <c r="H553" i="7"/>
  <c r="H554" i="7"/>
  <c r="H555" i="7"/>
  <c r="H556" i="7"/>
  <c r="H557" i="7"/>
  <c r="H558" i="7"/>
  <c r="H559" i="7"/>
  <c r="H560" i="7"/>
  <c r="H561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1182AD-6076-4052-A0C9-B93338229BEA}" keepAlive="1" name="Query - Fact_Financials_Master" description="Connection to the 'Fact_Financials_Master' query in the workbook." type="5" refreshedVersion="8" background="1" saveData="1">
    <dbPr connection="Provider=Microsoft.Mashup.OleDb.1;Data Source=$Workbook$;Location=Fact_Financials_Master;Extended Properties=&quot;&quot;" command="SELECT * FROM [Fact_Financials_Master]"/>
  </connection>
  <connection id="2" xr16:uid="{0EA53AEB-18EF-4E11-89C9-F6AA576B2C97}" keepAlive="1" name="Query - Fuel_Costs" description="Connection to the 'Fuel_Costs' query in the workbook." type="5" refreshedVersion="8" background="1" saveData="1">
    <dbPr connection="Provider=Microsoft.Mashup.OleDb.1;Data Source=$Workbook$;Location=Fuel_Costs;Extended Properties=&quot;&quot;" command="SELECT * FROM [Fuel_Costs]"/>
  </connection>
  <connection id="3" xr16:uid="{AB99FF64-E9B1-47B7-8ACE-77F204792249}" keepAlive="1" name="Query - Load_Factor" description="Connection to the 'Load_Factor' query in the workbook." type="5" refreshedVersion="8" background="1" saveData="1">
    <dbPr connection="Provider=Microsoft.Mashup.OleDb.1;Data Source=$Workbook$;Location=Load_Factor;Extended Properties=&quot;&quot;" command="SELECT * FROM [Load_Factor]"/>
  </connection>
  <connection id="4" xr16:uid="{81A50E79-CB7A-467E-9D2E-95ACC252158E}" keepAlive="1" name="Query - Net_Income" description="Connection to the 'Net_Income' query in the workbook." type="5" refreshedVersion="8" background="1" saveData="1">
    <dbPr connection="Provider=Microsoft.Mashup.OleDb.1;Data Source=$Workbook$;Location=Net_Income;Extended Properties=&quot;&quot;" command="SELECT * FROM [Net_Income]"/>
  </connection>
  <connection id="5" xr16:uid="{EFA8D7E4-5E28-4CD3-B2A4-B775BB7F4172}" keepAlive="1" name="Query - Operating_Income" description="Connection to the 'Operating_Income' query in the workbook." type="5" refreshedVersion="8" background="1" saveData="1">
    <dbPr connection="Provider=Microsoft.Mashup.OleDb.1;Data Source=$Workbook$;Location=Operating_Income;Extended Properties=&quot;&quot;" command="SELECT * FROM [Operating_Income]"/>
  </connection>
  <connection id="6" xr16:uid="{1E2BCABB-EFE2-4B1C-A9F3-C367669B2E59}" keepAlive="1" name="Query - Operating_Revenue" description="Connection to the 'Operating_Revenue' query in the workbook." type="5" refreshedVersion="8" background="1" saveData="1">
    <dbPr connection="Provider=Microsoft.Mashup.OleDb.1;Data Source=$Workbook$;Location=Operating_Revenue;Extended Properties=&quot;&quot;" command="SELECT * FROM [Operating_Revenue]"/>
  </connection>
  <connection id="7" xr16:uid="{8076DF58-83D8-4278-8D95-2FBB4A89A5A5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8" xr16:uid="{03393ACD-56E8-4EC7-8BC7-6F12CE72866F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9" xr16:uid="{FD7B6739-3E8F-4DAA-99D2-9E1F5DFDE180}" keepAlive="1" name="Query - Parameter3" description="Connection to the 'Parameter3' query in the workbook." type="5" refreshedVersion="0" background="1">
    <dbPr connection="Provider=Microsoft.Mashup.OleDb.1;Data Source=$Workbook$;Location=Parameter3;Extended Properties=&quot;&quot;" command="SELECT * FROM [Parameter3]"/>
  </connection>
  <connection id="10" xr16:uid="{1867571A-2D6E-44D8-BD5A-596478EA78E6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11" xr16:uid="{A0AA2141-D1BC-4978-920D-556EDE55B2E4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12" xr16:uid="{96111F5D-E749-47EA-820C-17633109180A}" keepAlive="1" name="Query - Sample File (3)" description="Connection to the 'Sample File (3)' query in the workbook." type="5" refreshedVersion="0" background="1">
    <dbPr connection="Provider=Microsoft.Mashup.OleDb.1;Data Source=$Workbook$;Location=&quot;Sample File (3)&quot;;Extended Properties=&quot;&quot;" command="SELECT * FROM [Sample File (3)]"/>
  </connection>
  <connection id="13" xr16:uid="{5921BD78-3951-4A3F-ABCA-4BA0F9700136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14" xr16:uid="{9DE85F05-BDD1-4101-BB78-7345F3C5479D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15" xr16:uid="{B22B39CD-E37D-4826-A53D-A82EA829848C}" keepAlive="1" name="Query - Transform File (3)" description="Connection to the 'Transform File (3)' query in the workbook." type="5" refreshedVersion="0" background="1">
    <dbPr connection="Provider=Microsoft.Mashup.OleDb.1;Data Source=$Workbook$;Location=&quot;Transform File (3)&quot;;Extended Properties=&quot;&quot;" command="SELECT * FROM [Transform File (3)]"/>
  </connection>
  <connection id="16" xr16:uid="{52200380-F3CE-4853-A749-383DA1FE8795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17" xr16:uid="{1E1B3818-FEBD-4560-AC85-19C1124035E9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  <connection id="18" xr16:uid="{3ECC0593-7F04-4104-875F-59EDDF231004}" keepAlive="1" name="Query - Transform Sample File (3)" description="Connection to the 'Transform Sample File (3)' query in the workbook." type="5" refreshedVersion="0" background="1">
    <dbPr connection="Provider=Microsoft.Mashup.OleDb.1;Data Source=$Workbook$;Location=&quot;Transform Sample File (3)&quot;;Extended Properties=&quot;&quot;" command="SELECT * FROM [Transform Sample File (3)]"/>
  </connection>
</connections>
</file>

<file path=xl/sharedStrings.xml><?xml version="1.0" encoding="utf-8"?>
<sst xmlns="http://schemas.openxmlformats.org/spreadsheetml/2006/main" count="6743" uniqueCount="74">
  <si>
    <t>Year_Quarter</t>
  </si>
  <si>
    <t>Airline_Name</t>
  </si>
  <si>
    <t>net_income</t>
  </si>
  <si>
    <t>2009-Q1</t>
  </si>
  <si>
    <t>American Airlines</t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</si>
  <si>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</si>
  <si>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</si>
  <si>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</si>
  <si>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</si>
  <si>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</si>
  <si>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</si>
  <si>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</si>
  <si>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</si>
  <si>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</si>
  <si>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</si>
  <si>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</si>
  <si>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</si>
  <si>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</si>
  <si>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</si>
  <si>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</si>
  <si>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</si>
  <si>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</si>
  <si>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</si>
  <si>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</si>
  <si>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</si>
  <si>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</si>
  <si>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</si>
  <si>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</si>
  <si>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</si>
  <si>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</si>
  <si>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</si>
  <si>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</si>
  <si>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</si>
  <si>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</si>
  <si>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</si>
  <si>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</si>
  <si>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</si>
  <si>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</si>
  <si>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</si>
  <si>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</si>
  <si>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</si>
  <si>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</si>
  <si>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</si>
  <si>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</si>
  <si>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</si>
  <si>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</si>
  <si>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</si>
  <si>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</si>
  <si>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</si>
  <si>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</si>
  <si>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</si>
  <si>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</si>
  <si>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</si>
  <si>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</si>
  <si>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</si>
  <si>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</si>
  <si>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</si>
  <si>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</si>
  <si>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</si>
  <si>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</si>
  <si>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Hawaiian Airlines</t>
  </si>
  <si>
    <t>Allegiant Airlines</t>
  </si>
  <si>
    <t>Delta Airlines</t>
  </si>
  <si>
    <t>United Airlines</t>
  </si>
  <si>
    <t>Southwest Airlines</t>
  </si>
  <si>
    <t>JetBlue Airlines</t>
  </si>
  <si>
    <t>Alaska Airlines</t>
  </si>
  <si>
    <t>Spirit Airlines</t>
  </si>
  <si>
    <t>Frontier Airlines</t>
  </si>
  <si>
    <t>load_factor</t>
  </si>
  <si>
    <t>operating_revenue</t>
  </si>
  <si>
    <t>operating_income</t>
  </si>
  <si>
    <t>fuel_cost</t>
  </si>
  <si>
    <t>CARES_Flag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</si>
</sst>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" xr16:uid="{882CA96F-5C3D-4AD2-92EE-DC4D18E35B46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Year_Quarter" tableColumnId="1"/>
      <queryTableField id="2" name="Airline_Name" tableColumnId="2"/>
      <queryTableField id="3" name="net_income" tableColumnId="3"/>
      <queryTableField id="4" name="load_factor" tableColumnId="4"/>
      <queryTableField id="5" name="operating_revenue" tableColumnId="5"/>
      <queryTableField id="6" name="operating_income" tableColumnId="6"/>
      <queryTableField id="7" name="fuel_cost" tableColumnId="7"/>
      <queryTableField id="8" dataBound="0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8AEFC031-F66B-4405-82AA-7D9F7CA6333B}" autoFormatId="16" applyNumberFormats="0" applyBorderFormats="0" applyFontFormats="0" applyPatternFormats="0" applyAlignmentFormats="0" applyWidthHeightFormats="0">
  <queryTableRefresh nextId="4">
    <queryTableFields count="3">
      <queryTableField id="1" name="Airline_Name" tableColumnId="1"/>
      <queryTableField id="2" name="Year_Quarter" tableColumnId="2"/>
      <queryTableField id="3" name="fuel_cost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EA890EC4-BEA2-410F-A0D0-7822D6F77268}" autoFormatId="16" applyNumberFormats="0" applyBorderFormats="0" applyFontFormats="0" applyPatternFormats="0" applyAlignmentFormats="0" applyWidthHeightFormats="0">
  <queryTableRefresh nextId="4">
    <queryTableFields count="3">
      <queryTableField id="1" name="Airline_Name" tableColumnId="1"/>
      <queryTableField id="2" name="Year_Quarter" tableColumnId="2"/>
      <queryTableField id="3" name="operating_income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21566275-CC8C-4CC1-AE90-BF5A2DEE6B4E}" autoFormatId="16" applyNumberFormats="0" applyBorderFormats="0" applyFontFormats="0" applyPatternFormats="0" applyAlignmentFormats="0" applyWidthHeightFormats="0">
  <queryTableRefresh nextId="4">
    <queryTableFields count="3">
      <queryTableField id="1" name="Airline_Name" tableColumnId="1"/>
      <queryTableField id="2" name="Year_Quarter" tableColumnId="2"/>
      <queryTableField id="3" name="operating_revenue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F0CF7A99-89AD-40B5-B322-7455F26C8668}" autoFormatId="16" applyNumberFormats="0" applyBorderFormats="0" applyFontFormats="0" applyPatternFormats="0" applyAlignmentFormats="0" applyWidthHeightFormats="0">
  <queryTableRefresh nextId="4">
    <queryTableFields count="3">
      <queryTableField id="1" name="Year_Quarter" tableColumnId="1"/>
      <queryTableField id="2" name="Airline_Name" tableColumnId="2"/>
      <queryTableField id="3" name="load_factor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60AA820C-BFB3-4316-B2CC-530A61455E9F}" autoFormatId="16" applyNumberFormats="0" applyBorderFormats="0" applyFontFormats="0" applyPatternFormats="0" applyAlignmentFormats="0" applyWidthHeightFormats="0">
  <queryTableRefresh nextId="4">
    <queryTableFields count="3">
      <queryTableField id="1" name="Year_Quarter" tableColumnId="1"/>
      <queryTableField id="2" name="Airline_Name" tableColumnId="2"/>
      <queryTableField id="3" name="net_incom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A0B7CB8-A66E-4C71-8B3A-E2CA3B9CA2F1}" name="Fact_Financials_Master" displayName="Fact_Financials_Master" ref="A1:H561" tableType="queryTable" totalsRowShown="0">
  <autoFilter ref="A1:H561" xr:uid="{3A0B7CB8-A66E-4C71-8B3A-E2CA3B9CA2F1}"/>
  <tableColumns count="8">
    <tableColumn id="1" xr3:uid="{4E7EFABC-D52A-4B90-8596-CF2C5FBF507E}" uniqueName="1" name="Year_Quarter" queryTableFieldId="1"/>
    <tableColumn id="2" xr3:uid="{1BF8D839-C133-4749-8EF4-2BF01BC600A8}" uniqueName="2" name="Airline_Name" queryTableFieldId="2" dataDxfId="1"/>
    <tableColumn id="3" xr3:uid="{B13CC4DF-D8E6-4AD4-961B-47724DC1C1D9}" uniqueName="3" name="net_income" queryTableFieldId="3"/>
    <tableColumn id="4" xr3:uid="{B975CB9A-6DB4-4887-8C16-1701138B977B}" uniqueName="4" name="load_factor" queryTableFieldId="4"/>
    <tableColumn id="5" xr3:uid="{9D926E93-4EB3-47A4-9108-0A3AC0F313F2}" uniqueName="5" name="operating_revenue" queryTableFieldId="5"/>
    <tableColumn id="6" xr3:uid="{6BD0388B-F508-4CC1-ACF1-DC93EB509BF7}" uniqueName="6" name="operating_income" queryTableFieldId="6"/>
    <tableColumn id="7" xr3:uid="{3B435EB5-00F4-4A41-924C-0298A3D97B2C}" uniqueName="7" name="fuel_cost" queryTableFieldId="7"/>
    <tableColumn id="8" xr3:uid="{33074F19-9EA1-4A34-A7E6-F7040C90C173}" uniqueName="8" name="CARES_Flag" queryTableFieldId="8" dataDxfId="0">
      <calculatedColumnFormula>IF(AND(Fact_Financials_Master[[#This Row],[Year_Quarter]]&gt;="2020-Q2", Fact_Financials_Master[[#This Row],[Year_Quarter]]&lt;="2021-Q2"), "CARES_Period", "Normal_Period")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9A05BA2-F9D4-4B0D-B42F-91DC038EDE7C}" name="Fuel_Costs" displayName="Fuel_Costs" ref="A1:C561" tableType="queryTable" totalsRowShown="0">
  <autoFilter ref="A1:C561" xr:uid="{99A05BA2-F9D4-4B0D-B42F-91DC038EDE7C}"/>
  <tableColumns count="3">
    <tableColumn id="1" xr3:uid="{FE3B1352-7E34-474C-BDB3-D63B4E1EB548}" uniqueName="1" name="Airline_Name" queryTableFieldId="1"/>
    <tableColumn id="2" xr3:uid="{533EFBA8-03EB-4057-90ED-5F01324616FE}" uniqueName="2" name="Year_Quarter" queryTableFieldId="2"/>
    <tableColumn id="3" xr3:uid="{9EEF81CE-6B72-4E2A-93B7-4200D6D5BADF}" uniqueName="3" name="fuel_cost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BD71DF7-20D0-4DFA-9728-3D7AA25491C2}" name="Operating_Income" displayName="Operating_Income" ref="A1:C561" tableType="queryTable" totalsRowShown="0">
  <autoFilter ref="A1:C561" xr:uid="{BBD71DF7-20D0-4DFA-9728-3D7AA25491C2}"/>
  <tableColumns count="3">
    <tableColumn id="1" xr3:uid="{86619A1B-DDA7-47CA-A27F-8EBD5F1DB5D0}" uniqueName="1" name="Airline_Name" queryTableFieldId="1"/>
    <tableColumn id="2" xr3:uid="{BCF2437F-EA4F-429F-AAF7-ECF5CE544C61}" uniqueName="2" name="Year_Quarter" queryTableFieldId="2"/>
    <tableColumn id="3" xr3:uid="{EBB98484-F4F5-42AA-9DD5-3F1600A77108}" uniqueName="3" name="operating_income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676A4B-6EF2-4C28-B371-D541F563225F}" name="Operating_Revenue" displayName="Operating_Revenue" ref="A1:C561" tableType="queryTable" totalsRowShown="0">
  <autoFilter ref="A1:C561" xr:uid="{ED676A4B-6EF2-4C28-B371-D541F563225F}"/>
  <tableColumns count="3">
    <tableColumn id="1" xr3:uid="{59E333FA-385A-44C3-B4B9-AC09252CC96F}" uniqueName="1" name="Airline_Name" queryTableFieldId="1"/>
    <tableColumn id="2" xr3:uid="{194F9341-DA86-4892-B30F-1D677227F26D}" uniqueName="2" name="Year_Quarter" queryTableFieldId="2"/>
    <tableColumn id="3" xr3:uid="{CB75AD28-AAFA-483D-B4A7-158605F03887}" uniqueName="3" name="operating_revenue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B44A23-B54E-4960-BCCE-B7CF48F9BB7C}" name="Load_Factor" displayName="Load_Factor" ref="A1:C561" tableType="queryTable" totalsRowShown="0">
  <autoFilter ref="A1:C561" xr:uid="{60B44A23-B54E-4960-BCCE-B7CF48F9BB7C}"/>
  <tableColumns count="3">
    <tableColumn id="1" xr3:uid="{6A58CEB9-5DAB-4139-A0C9-98D75FFEC554}" uniqueName="1" name="Year_Quarter" queryTableFieldId="1"/>
    <tableColumn id="2" xr3:uid="{23C46A56-23DE-4344-8FE6-C97CAFE65AA3}" uniqueName="2" name="Airline_Name" queryTableFieldId="2"/>
    <tableColumn id="3" xr3:uid="{E0C269CD-0307-4F7C-BEA2-7489C26E1017}" uniqueName="3" name="load_factor" queryTableField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F078F0-AD71-44A9-844D-172C2B08D0AD}" name="Net_Income" displayName="Net_Income" ref="A1:C561" tableType="queryTable" totalsRowShown="0">
  <autoFilter ref="A1:C561" xr:uid="{C3F078F0-AD71-44A9-844D-172C2B08D0AD}"/>
  <tableColumns count="3">
    <tableColumn id="1" xr3:uid="{BD89EFB5-B298-4AB5-A986-1F9EA4A25C17}" uniqueName="1" name="Year_Quarter" queryTableFieldId="1"/>
    <tableColumn id="2" xr3:uid="{50365DCF-1241-4B4A-A40F-11F32E3DFE1D}" uniqueName="2" name="Airline_Name" queryTableFieldId="2" dataDxfId="2"/>
    <tableColumn id="3" xr3:uid="{6747361F-4F11-4CEC-8EB9-9B04E90F5AA0}" uniqueName="3" name="net_incom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0352B-BC7E-4329-A0E4-771781772458}">
  <dimension ref="A1:H561"/>
  <sheetViews>
    <sheetView tabSelected="1" workbookViewId="0">
      <selection activeCell="J6" sqref="J6"/>
    </sheetView>
  </sheetViews>
  <sheetFormatPr defaultRowHeight="15" x14ac:dyDescent="0.25"/>
  <cols>
    <col min="1" max="1" width="15" bestFit="1" customWidth="1"/>
    <col min="2" max="2" width="17.42578125" bestFit="1" customWidth="1"/>
    <col min="3" max="3" width="13.85546875" bestFit="1" customWidth="1"/>
    <col min="4" max="4" width="13.28515625" bestFit="1" customWidth="1"/>
    <col min="5" max="5" width="20.42578125" bestFit="1" customWidth="1"/>
    <col min="6" max="6" width="19.7109375" bestFit="1" customWidth="1"/>
    <col min="7" max="7" width="11.5703125" bestFit="1" customWidth="1"/>
    <col min="8" max="8" width="14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</row>
    <row r="2" spans="1:8" x14ac:dyDescent="0.25">
      <c r="A2" t="s">
        <v>3</v>
      </c>
      <c r="B2" s="1" t="s">
        <v>4</v>
      </c>
      <c r="C2">
        <v>-365661</v>
      </c>
      <c r="D2">
        <v>78.61666666666666</v>
      </c>
      <c r="E2">
        <v>4833992</v>
      </c>
      <c r="F2">
        <v>-226645</v>
      </c>
      <c r="G2">
        <v>1142869172</v>
      </c>
      <c r="H2" t="str">
        <f>IF(AND(Fact_Financials_Master[[#This Row],[Year_Quarter]]&gt;="2020-Q2", Fact_Financials_Master[[#This Row],[Year_Quarter]]&lt;="2021-Q2"), "CARES_Period", "Normal_Period")</f>
        <v>Normal_Period</v>
      </c>
    </row>
    <row r="3" spans="1:8" x14ac:dyDescent="0.25">
      <c r="A3" t="s">
        <v>50</v>
      </c>
      <c r="B3" s="1" t="s">
        <v>4</v>
      </c>
      <c r="C3">
        <v>-2275515</v>
      </c>
      <c r="D3">
        <v>63.120000000000005</v>
      </c>
      <c r="E3">
        <v>3172266</v>
      </c>
      <c r="F3">
        <v>-4945286.6999999993</v>
      </c>
      <c r="G3">
        <v>420029455</v>
      </c>
      <c r="H3" t="str">
        <f>IF(AND(Fact_Financials_Master[[#This Row],[Year_Quarter]]&gt;="2020-Q2", Fact_Financials_Master[[#This Row],[Year_Quarter]]&lt;="2021-Q2"), "CARES_Period", "Normal_Period")</f>
        <v>CARES_Period</v>
      </c>
    </row>
    <row r="4" spans="1:8" x14ac:dyDescent="0.25">
      <c r="A4" t="s">
        <v>3</v>
      </c>
      <c r="B4" s="1" t="s">
        <v>66</v>
      </c>
      <c r="C4">
        <v>-12045</v>
      </c>
      <c r="D4">
        <v>74.7</v>
      </c>
      <c r="E4">
        <v>653137</v>
      </c>
      <c r="F4">
        <v>6811</v>
      </c>
      <c r="G4">
        <v>109886338</v>
      </c>
      <c r="H4" t="str">
        <f>IF(AND(Fact_Financials_Master[[#This Row],[Year_Quarter]]&gt;="2020-Q2", Fact_Financials_Master[[#This Row],[Year_Quarter]]&lt;="2021-Q2"), "CARES_Period", "Normal_Period")</f>
        <v>Normal_Period</v>
      </c>
    </row>
    <row r="5" spans="1:8" x14ac:dyDescent="0.25">
      <c r="A5" t="s">
        <v>5</v>
      </c>
      <c r="B5" s="1" t="s">
        <v>4</v>
      </c>
      <c r="C5">
        <v>-389835</v>
      </c>
      <c r="D5">
        <v>85.423333333333332</v>
      </c>
      <c r="E5">
        <v>4885283</v>
      </c>
      <c r="F5">
        <v>-259408</v>
      </c>
      <c r="G5">
        <v>1163954774</v>
      </c>
      <c r="H5" t="str">
        <f>IF(AND(Fact_Financials_Master[[#This Row],[Year_Quarter]]&gt;="2020-Q2", Fact_Financials_Master[[#This Row],[Year_Quarter]]&lt;="2021-Q2"), "CARES_Period", "Normal_Period")</f>
        <v>Normal_Period</v>
      </c>
    </row>
    <row r="6" spans="1:8" x14ac:dyDescent="0.25">
      <c r="A6" t="s">
        <v>3</v>
      </c>
      <c r="B6" s="1" t="s">
        <v>65</v>
      </c>
      <c r="C6">
        <v>11678</v>
      </c>
      <c r="D6">
        <v>75.956666666666663</v>
      </c>
      <c r="E6">
        <v>792890</v>
      </c>
      <c r="F6">
        <v>72159.09</v>
      </c>
      <c r="G6">
        <v>214388168</v>
      </c>
      <c r="H6" t="str">
        <f>IF(AND(Fact_Financials_Master[[#This Row],[Year_Quarter]]&gt;="2020-Q2", Fact_Financials_Master[[#This Row],[Year_Quarter]]&lt;="2021-Q2"), "CARES_Period", "Normal_Period")</f>
        <v>Normal_Period</v>
      </c>
    </row>
    <row r="7" spans="1:8" x14ac:dyDescent="0.25">
      <c r="A7" t="s">
        <v>49</v>
      </c>
      <c r="B7" s="1" t="s">
        <v>4</v>
      </c>
      <c r="C7">
        <v>-1968013</v>
      </c>
      <c r="D7">
        <v>44.073333333333331</v>
      </c>
      <c r="E7">
        <v>1622052</v>
      </c>
      <c r="F7">
        <v>-4459137.8199999994</v>
      </c>
      <c r="G7">
        <v>198861626</v>
      </c>
      <c r="H7" t="str">
        <f>IF(AND(Fact_Financials_Master[[#This Row],[Year_Quarter]]&gt;="2020-Q2", Fact_Financials_Master[[#This Row],[Year_Quarter]]&lt;="2021-Q2"), "CARES_Period", "Normal_Period")</f>
        <v>CARES_Period</v>
      </c>
    </row>
    <row r="8" spans="1:8" x14ac:dyDescent="0.25">
      <c r="A8" t="s">
        <v>3</v>
      </c>
      <c r="B8" s="1" t="s">
        <v>62</v>
      </c>
      <c r="C8">
        <v>-515691</v>
      </c>
      <c r="D8">
        <v>80</v>
      </c>
      <c r="E8">
        <v>4232092</v>
      </c>
      <c r="F8">
        <v>-337084</v>
      </c>
      <c r="G8">
        <v>1279161613</v>
      </c>
      <c r="H8" t="str">
        <f>IF(AND(Fact_Financials_Master[[#This Row],[Year_Quarter]]&gt;="2020-Q2", Fact_Financials_Master[[#This Row],[Year_Quarter]]&lt;="2021-Q2"), "CARES_Period", "Normal_Period")</f>
        <v>Normal_Period</v>
      </c>
    </row>
    <row r="9" spans="1:8" x14ac:dyDescent="0.25">
      <c r="A9" t="s">
        <v>6</v>
      </c>
      <c r="B9" s="1" t="s">
        <v>4</v>
      </c>
      <c r="C9">
        <v>-376810</v>
      </c>
      <c r="D9">
        <v>85.183333333333337</v>
      </c>
      <c r="E9">
        <v>5122153</v>
      </c>
      <c r="F9">
        <v>-245897</v>
      </c>
      <c r="G9">
        <v>1270369512</v>
      </c>
      <c r="H9" t="str">
        <f>IF(AND(Fact_Financials_Master[[#This Row],[Year_Quarter]]&gt;="2020-Q2", Fact_Financials_Master[[#This Row],[Year_Quarter]]&lt;="2021-Q2"), "CARES_Period", "Normal_Period")</f>
        <v>Normal_Period</v>
      </c>
    </row>
    <row r="10" spans="1:8" x14ac:dyDescent="0.25">
      <c r="A10" t="s">
        <v>3</v>
      </c>
      <c r="B10" s="1" t="s">
        <v>68</v>
      </c>
      <c r="C10">
        <v>-163595</v>
      </c>
      <c r="D10">
        <v>73.713333333333338</v>
      </c>
      <c r="E10">
        <v>263919</v>
      </c>
      <c r="F10">
        <v>22157.100000000002</v>
      </c>
      <c r="G10">
        <v>52101679</v>
      </c>
      <c r="H10" t="str">
        <f>IF(AND(Fact_Financials_Master[[#This Row],[Year_Quarter]]&gt;="2020-Q2", Fact_Financials_Master[[#This Row],[Year_Quarter]]&lt;="2021-Q2"), "CARES_Period", "Normal_Period")</f>
        <v>Normal_Period</v>
      </c>
    </row>
    <row r="11" spans="1:8" x14ac:dyDescent="0.25">
      <c r="A11" t="s">
        <v>49</v>
      </c>
      <c r="B11" s="1" t="s">
        <v>62</v>
      </c>
      <c r="C11">
        <v>-5691876</v>
      </c>
      <c r="D11">
        <v>34.21</v>
      </c>
      <c r="E11">
        <v>1472123</v>
      </c>
      <c r="F11">
        <v>-3517502</v>
      </c>
      <c r="G11">
        <v>332812728</v>
      </c>
      <c r="H11" t="str">
        <f>IF(AND(Fact_Financials_Master[[#This Row],[Year_Quarter]]&gt;="2020-Q2", Fact_Financials_Master[[#This Row],[Year_Quarter]]&lt;="2021-Q2"), "CARES_Period", "Normal_Period")</f>
        <v>CARES_Period</v>
      </c>
    </row>
    <row r="12" spans="1:8" x14ac:dyDescent="0.25">
      <c r="A12" t="s">
        <v>3</v>
      </c>
      <c r="B12" s="1" t="s">
        <v>61</v>
      </c>
      <c r="C12">
        <v>40267</v>
      </c>
      <c r="D12">
        <v>90.526666666666671</v>
      </c>
      <c r="E12">
        <v>137009</v>
      </c>
      <c r="F12">
        <v>41209</v>
      </c>
      <c r="G12">
        <v>35933971</v>
      </c>
      <c r="H12" t="str">
        <f>IF(AND(Fact_Financials_Master[[#This Row],[Year_Quarter]]&gt;="2020-Q2", Fact_Financials_Master[[#This Row],[Year_Quarter]]&lt;="2021-Q2"), "CARES_Period", "Normal_Period")</f>
        <v>Normal_Period</v>
      </c>
    </row>
    <row r="13" spans="1:8" x14ac:dyDescent="0.25">
      <c r="A13" t="s">
        <v>7</v>
      </c>
      <c r="B13" s="1" t="s">
        <v>4</v>
      </c>
      <c r="C13">
        <v>-343475</v>
      </c>
      <c r="D13">
        <v>81.926666666666662</v>
      </c>
      <c r="E13">
        <v>5056817</v>
      </c>
      <c r="F13">
        <v>-430899</v>
      </c>
      <c r="G13">
        <v>1279900027</v>
      </c>
      <c r="H13" t="str">
        <f>IF(AND(Fact_Financials_Master[[#This Row],[Year_Quarter]]&gt;="2020-Q2", Fact_Financials_Master[[#This Row],[Year_Quarter]]&lt;="2021-Q2"), "CARES_Period", "Normal_Period")</f>
        <v>Normal_Period</v>
      </c>
    </row>
    <row r="14" spans="1:8" x14ac:dyDescent="0.25">
      <c r="A14" t="s">
        <v>3</v>
      </c>
      <c r="B14" s="1" t="s">
        <v>60</v>
      </c>
      <c r="C14">
        <v>24494</v>
      </c>
      <c r="D14">
        <v>84.176666666666662</v>
      </c>
      <c r="E14">
        <v>288681</v>
      </c>
      <c r="F14">
        <v>37056.639999999999</v>
      </c>
      <c r="G14">
        <v>47725680</v>
      </c>
      <c r="H14" t="str">
        <f>IF(AND(Fact_Financials_Master[[#This Row],[Year_Quarter]]&gt;="2020-Q2", Fact_Financials_Master[[#This Row],[Year_Quarter]]&lt;="2021-Q2"), "CARES_Period", "Normal_Period")</f>
        <v>Normal_Period</v>
      </c>
    </row>
    <row r="15" spans="1:8" x14ac:dyDescent="0.25">
      <c r="A15" t="s">
        <v>50</v>
      </c>
      <c r="B15" s="1" t="s">
        <v>64</v>
      </c>
      <c r="C15">
        <v>-1156653</v>
      </c>
      <c r="D15">
        <v>45.403333333333336</v>
      </c>
      <c r="E15">
        <v>1793075</v>
      </c>
      <c r="F15">
        <v>-2658234</v>
      </c>
      <c r="G15">
        <v>369246273</v>
      </c>
      <c r="H15" t="str">
        <f>IF(AND(Fact_Financials_Master[[#This Row],[Year_Quarter]]&gt;="2020-Q2", Fact_Financials_Master[[#This Row],[Year_Quarter]]&lt;="2021-Q2"), "CARES_Period", "Normal_Period")</f>
        <v>CARES_Period</v>
      </c>
    </row>
    <row r="16" spans="1:8" x14ac:dyDescent="0.25">
      <c r="A16" t="s">
        <v>3</v>
      </c>
      <c r="B16" s="1" t="s">
        <v>67</v>
      </c>
      <c r="C16">
        <v>18710</v>
      </c>
      <c r="D16">
        <v>79.626666666666665</v>
      </c>
      <c r="E16">
        <v>170029</v>
      </c>
      <c r="F16">
        <v>30684</v>
      </c>
      <c r="G16">
        <v>35890000</v>
      </c>
      <c r="H16" t="str">
        <f>IF(AND(Fact_Financials_Master[[#This Row],[Year_Quarter]]&gt;="2020-Q2", Fact_Financials_Master[[#This Row],[Year_Quarter]]&lt;="2021-Q2"), "CARES_Period", "Normal_Period")</f>
        <v>Normal_Period</v>
      </c>
    </row>
    <row r="17" spans="1:8" x14ac:dyDescent="0.25">
      <c r="A17" t="s">
        <v>8</v>
      </c>
      <c r="B17" s="1" t="s">
        <v>4</v>
      </c>
      <c r="C17">
        <v>-488786</v>
      </c>
      <c r="D17">
        <v>78.86666666666666</v>
      </c>
      <c r="E17">
        <v>5062980</v>
      </c>
      <c r="F17">
        <v>-321986</v>
      </c>
      <c r="G17">
        <v>1301968079</v>
      </c>
      <c r="H17" t="str">
        <f>IF(AND(Fact_Financials_Master[[#This Row],[Year_Quarter]]&gt;="2020-Q2", Fact_Financials_Master[[#This Row],[Year_Quarter]]&lt;="2021-Q2"), "CARES_Period", "Normal_Period")</f>
        <v>Normal_Period</v>
      </c>
    </row>
    <row r="18" spans="1:8" x14ac:dyDescent="0.25">
      <c r="A18" t="s">
        <v>3</v>
      </c>
      <c r="B18" s="1" t="s">
        <v>63</v>
      </c>
      <c r="C18">
        <v>-380446</v>
      </c>
      <c r="D18">
        <v>79.27</v>
      </c>
      <c r="E18">
        <v>3693574</v>
      </c>
      <c r="F18">
        <v>-135835</v>
      </c>
      <c r="G18">
        <v>717066281</v>
      </c>
      <c r="H18" t="str">
        <f>IF(AND(Fact_Financials_Master[[#This Row],[Year_Quarter]]&gt;="2020-Q2", Fact_Financials_Master[[#This Row],[Year_Quarter]]&lt;="2021-Q2"), "CARES_Period", "Normal_Period")</f>
        <v>Normal_Period</v>
      </c>
    </row>
    <row r="19" spans="1:8" x14ac:dyDescent="0.25">
      <c r="A19" t="s">
        <v>52</v>
      </c>
      <c r="B19" s="1" t="s">
        <v>4</v>
      </c>
      <c r="C19">
        <v>-1215616</v>
      </c>
      <c r="D19">
        <v>65.44</v>
      </c>
      <c r="E19">
        <v>4007498</v>
      </c>
      <c r="F19">
        <v>-3439576.1599999997</v>
      </c>
      <c r="G19">
        <v>719347210</v>
      </c>
      <c r="H19" t="str">
        <f>IF(AND(Fact_Financials_Master[[#This Row],[Year_Quarter]]&gt;="2020-Q2", Fact_Financials_Master[[#This Row],[Year_Quarter]]&lt;="2021-Q2"), "CARES_Period", "Normal_Period")</f>
        <v>CARES_Period</v>
      </c>
    </row>
    <row r="20" spans="1:8" x14ac:dyDescent="0.25">
      <c r="A20" t="s">
        <v>3</v>
      </c>
      <c r="B20" s="1" t="s">
        <v>64</v>
      </c>
      <c r="C20">
        <v>-90959</v>
      </c>
      <c r="D20">
        <v>69.726666666666674</v>
      </c>
      <c r="E20">
        <v>2356573</v>
      </c>
      <c r="F20">
        <v>-49950</v>
      </c>
      <c r="G20">
        <v>664187022</v>
      </c>
      <c r="H20" t="str">
        <f>IF(AND(Fact_Financials_Master[[#This Row],[Year_Quarter]]&gt;="2020-Q2", Fact_Financials_Master[[#This Row],[Year_Quarter]]&lt;="2021-Q2"), "CARES_Period", "Normal_Period")</f>
        <v>Normal_Period</v>
      </c>
    </row>
    <row r="21" spans="1:8" x14ac:dyDescent="0.25">
      <c r="A21" t="s">
        <v>9</v>
      </c>
      <c r="B21" s="1" t="s">
        <v>4</v>
      </c>
      <c r="C21">
        <v>-6818</v>
      </c>
      <c r="D21">
        <v>86.066666666666663</v>
      </c>
      <c r="E21">
        <v>5669264</v>
      </c>
      <c r="F21">
        <v>159526</v>
      </c>
      <c r="G21">
        <v>1434209451</v>
      </c>
      <c r="H21" t="str">
        <f>IF(AND(Fact_Financials_Master[[#This Row],[Year_Quarter]]&gt;="2020-Q2", Fact_Financials_Master[[#This Row],[Year_Quarter]]&lt;="2021-Q2"), "CARES_Period", "Normal_Period")</f>
        <v>Normal_Period</v>
      </c>
    </row>
    <row r="22" spans="1:8" x14ac:dyDescent="0.25">
      <c r="A22" t="s">
        <v>49</v>
      </c>
      <c r="B22" s="1" t="s">
        <v>64</v>
      </c>
      <c r="C22">
        <v>-914941</v>
      </c>
      <c r="D22">
        <v>29.09333333333333</v>
      </c>
      <c r="E22">
        <v>1007676</v>
      </c>
      <c r="F22">
        <v>-2217663</v>
      </c>
      <c r="G22">
        <v>260101829</v>
      </c>
      <c r="H22" t="str">
        <f>IF(AND(Fact_Financials_Master[[#This Row],[Year_Quarter]]&gt;="2020-Q2", Fact_Financials_Master[[#This Row],[Year_Quarter]]&lt;="2021-Q2"), "CARES_Period", "Normal_Period")</f>
        <v>CARES_Period</v>
      </c>
    </row>
    <row r="23" spans="1:8" x14ac:dyDescent="0.25">
      <c r="A23" t="s">
        <v>5</v>
      </c>
      <c r="B23" s="1" t="s">
        <v>66</v>
      </c>
      <c r="C23">
        <v>25723</v>
      </c>
      <c r="D23">
        <v>79.106666666666669</v>
      </c>
      <c r="E23">
        <v>749221</v>
      </c>
      <c r="F23">
        <v>31359</v>
      </c>
      <c r="G23">
        <v>122315952</v>
      </c>
      <c r="H23" t="str">
        <f>IF(AND(Fact_Financials_Master[[#This Row],[Year_Quarter]]&gt;="2020-Q2", Fact_Financials_Master[[#This Row],[Year_Quarter]]&lt;="2021-Q2"), "CARES_Period", "Normal_Period")</f>
        <v>Normal_Period</v>
      </c>
    </row>
    <row r="24" spans="1:8" x14ac:dyDescent="0.25">
      <c r="A24" t="s">
        <v>10</v>
      </c>
      <c r="B24" s="1" t="s">
        <v>4</v>
      </c>
      <c r="C24">
        <v>128583</v>
      </c>
      <c r="D24">
        <v>84.96</v>
      </c>
      <c r="E24">
        <v>5837486</v>
      </c>
      <c r="F24">
        <v>290520</v>
      </c>
      <c r="G24">
        <v>1386611085</v>
      </c>
      <c r="H24" t="str">
        <f>IF(AND(Fact_Financials_Master[[#This Row],[Year_Quarter]]&gt;="2020-Q2", Fact_Financials_Master[[#This Row],[Year_Quarter]]&lt;="2021-Q2"), "CARES_Period", "Normal_Period")</f>
        <v>Normal_Period</v>
      </c>
    </row>
    <row r="25" spans="1:8" x14ac:dyDescent="0.25">
      <c r="A25" t="s">
        <v>5</v>
      </c>
      <c r="B25" s="1" t="s">
        <v>65</v>
      </c>
      <c r="C25">
        <v>20495</v>
      </c>
      <c r="D25">
        <v>80.516666666666666</v>
      </c>
      <c r="E25">
        <v>807162</v>
      </c>
      <c r="F25">
        <v>64083.92</v>
      </c>
      <c r="G25">
        <v>226840604</v>
      </c>
      <c r="H25" t="str">
        <f>IF(AND(Fact_Financials_Master[[#This Row],[Year_Quarter]]&gt;="2020-Q2", Fact_Financials_Master[[#This Row],[Year_Quarter]]&lt;="2021-Q2"), "CARES_Period", "Normal_Period")</f>
        <v>Normal_Period</v>
      </c>
    </row>
    <row r="26" spans="1:8" x14ac:dyDescent="0.25">
      <c r="A26" t="s">
        <v>49</v>
      </c>
      <c r="B26" s="1" t="s">
        <v>63</v>
      </c>
      <c r="C26">
        <v>-1625896</v>
      </c>
      <c r="D26">
        <v>34.976666666666674</v>
      </c>
      <c r="E26">
        <v>1475477</v>
      </c>
      <c r="F26">
        <v>-3225521.2300000004</v>
      </c>
      <c r="G26">
        <v>167527133</v>
      </c>
      <c r="H26" t="str">
        <f>IF(AND(Fact_Financials_Master[[#This Row],[Year_Quarter]]&gt;="2020-Q2", Fact_Financials_Master[[#This Row],[Year_Quarter]]&lt;="2021-Q2"), "CARES_Period", "Normal_Period")</f>
        <v>CARES_Period</v>
      </c>
    </row>
    <row r="27" spans="1:8" x14ac:dyDescent="0.25">
      <c r="A27" t="s">
        <v>5</v>
      </c>
      <c r="B27" s="1" t="s">
        <v>62</v>
      </c>
      <c r="C27">
        <v>-264344</v>
      </c>
      <c r="D27">
        <v>86.98</v>
      </c>
      <c r="E27">
        <v>4560316</v>
      </c>
      <c r="F27">
        <v>-159039</v>
      </c>
      <c r="G27">
        <v>1172884952</v>
      </c>
      <c r="H27" t="str">
        <f>IF(AND(Fact_Financials_Master[[#This Row],[Year_Quarter]]&gt;="2020-Q2", Fact_Financials_Master[[#This Row],[Year_Quarter]]&lt;="2021-Q2"), "CARES_Period", "Normal_Period")</f>
        <v>Normal_Period</v>
      </c>
    </row>
    <row r="28" spans="1:8" x14ac:dyDescent="0.25">
      <c r="A28" t="s">
        <v>11</v>
      </c>
      <c r="B28" s="1" t="s">
        <v>4</v>
      </c>
      <c r="C28">
        <v>-102197</v>
      </c>
      <c r="D28">
        <v>82.633333333333326</v>
      </c>
      <c r="E28">
        <v>5581210</v>
      </c>
      <c r="F28">
        <v>23195</v>
      </c>
      <c r="G28">
        <v>1431008126</v>
      </c>
      <c r="H28" t="str">
        <f>IF(AND(Fact_Financials_Master[[#This Row],[Year_Quarter]]&gt;="2020-Q2", Fact_Financials_Master[[#This Row],[Year_Quarter]]&lt;="2021-Q2"), "CARES_Period", "Normal_Period")</f>
        <v>Normal_Period</v>
      </c>
    </row>
    <row r="29" spans="1:8" x14ac:dyDescent="0.25">
      <c r="A29" t="s">
        <v>5</v>
      </c>
      <c r="B29" s="1" t="s">
        <v>68</v>
      </c>
      <c r="C29">
        <v>7208</v>
      </c>
      <c r="D29">
        <v>82.86333333333333</v>
      </c>
      <c r="E29">
        <v>275609</v>
      </c>
      <c r="F29">
        <v>26280.05</v>
      </c>
      <c r="G29">
        <v>60049253</v>
      </c>
      <c r="H29" t="str">
        <f>IF(AND(Fact_Financials_Master[[#This Row],[Year_Quarter]]&gt;="2020-Q2", Fact_Financials_Master[[#This Row],[Year_Quarter]]&lt;="2021-Q2"), "CARES_Period", "Normal_Period")</f>
        <v>Normal_Period</v>
      </c>
    </row>
    <row r="30" spans="1:8" x14ac:dyDescent="0.25">
      <c r="A30" t="s">
        <v>50</v>
      </c>
      <c r="B30" s="1" t="s">
        <v>63</v>
      </c>
      <c r="C30">
        <v>-1841017</v>
      </c>
      <c r="D30">
        <v>52.59</v>
      </c>
      <c r="E30">
        <v>2488824</v>
      </c>
      <c r="F30">
        <v>-3108526.93</v>
      </c>
      <c r="G30">
        <v>350995700</v>
      </c>
      <c r="H30" t="str">
        <f>IF(AND(Fact_Financials_Master[[#This Row],[Year_Quarter]]&gt;="2020-Q2", Fact_Financials_Master[[#This Row],[Year_Quarter]]&lt;="2021-Q2"), "CARES_Period", "Normal_Period")</f>
        <v>CARES_Period</v>
      </c>
    </row>
    <row r="31" spans="1:8" x14ac:dyDescent="0.25">
      <c r="A31" t="s">
        <v>5</v>
      </c>
      <c r="B31" s="1" t="s">
        <v>61</v>
      </c>
      <c r="C31">
        <v>32979</v>
      </c>
      <c r="D31">
        <v>90.82</v>
      </c>
      <c r="E31">
        <v>142158</v>
      </c>
      <c r="F31">
        <v>33849</v>
      </c>
      <c r="G31">
        <v>45149026</v>
      </c>
      <c r="H31" t="str">
        <f>IF(AND(Fact_Financials_Master[[#This Row],[Year_Quarter]]&gt;="2020-Q2", Fact_Financials_Master[[#This Row],[Year_Quarter]]&lt;="2021-Q2"), "CARES_Period", "Normal_Period")</f>
        <v>Normal_Period</v>
      </c>
    </row>
    <row r="32" spans="1:8" x14ac:dyDescent="0.25">
      <c r="A32" t="s">
        <v>12</v>
      </c>
      <c r="B32" s="1" t="s">
        <v>4</v>
      </c>
      <c r="C32">
        <v>-430511</v>
      </c>
      <c r="D32">
        <v>78.486666666666665</v>
      </c>
      <c r="E32">
        <v>5527195</v>
      </c>
      <c r="F32">
        <v>-265694.14</v>
      </c>
      <c r="G32">
        <v>1589853447</v>
      </c>
      <c r="H32" t="str">
        <f>IF(AND(Fact_Financials_Master[[#This Row],[Year_Quarter]]&gt;="2020-Q2", Fact_Financials_Master[[#This Row],[Year_Quarter]]&lt;="2021-Q2"), "CARES_Period", "Normal_Period")</f>
        <v>Normal_Period</v>
      </c>
    </row>
    <row r="33" spans="1:8" x14ac:dyDescent="0.25">
      <c r="A33" t="s">
        <v>5</v>
      </c>
      <c r="B33" s="1" t="s">
        <v>60</v>
      </c>
      <c r="C33">
        <v>28214</v>
      </c>
      <c r="D33">
        <v>86.653333333333336</v>
      </c>
      <c r="E33">
        <v>292031</v>
      </c>
      <c r="F33">
        <v>32542.66</v>
      </c>
      <c r="G33">
        <v>52065016</v>
      </c>
      <c r="H33" t="str">
        <f>IF(AND(Fact_Financials_Master[[#This Row],[Year_Quarter]]&gt;="2020-Q2", Fact_Financials_Master[[#This Row],[Year_Quarter]]&lt;="2021-Q2"), "CARES_Period", "Normal_Period")</f>
        <v>Normal_Period</v>
      </c>
    </row>
    <row r="34" spans="1:8" x14ac:dyDescent="0.25">
      <c r="A34" t="s">
        <v>48</v>
      </c>
      <c r="B34" s="1" t="s">
        <v>4</v>
      </c>
      <c r="C34">
        <v>-2168980</v>
      </c>
      <c r="D34">
        <v>72.763333333333321</v>
      </c>
      <c r="E34">
        <v>8513799</v>
      </c>
      <c r="F34">
        <v>-2535836.1700000004</v>
      </c>
      <c r="G34">
        <v>1301661027</v>
      </c>
      <c r="H34" t="str">
        <f>IF(AND(Fact_Financials_Master[[#This Row],[Year_Quarter]]&gt;="2020-Q2", Fact_Financials_Master[[#This Row],[Year_Quarter]]&lt;="2021-Q2"), "CARES_Period", "Normal_Period")</f>
        <v>Normal_Period</v>
      </c>
    </row>
    <row r="35" spans="1:8" x14ac:dyDescent="0.25">
      <c r="A35" t="s">
        <v>5</v>
      </c>
      <c r="B35" s="1" t="s">
        <v>67</v>
      </c>
      <c r="C35">
        <v>22818</v>
      </c>
      <c r="D35">
        <v>82.243333333333339</v>
      </c>
      <c r="E35">
        <v>180407</v>
      </c>
      <c r="F35">
        <v>34681</v>
      </c>
      <c r="G35">
        <v>42743000</v>
      </c>
      <c r="H35" t="str">
        <f>IF(AND(Fact_Financials_Master[[#This Row],[Year_Quarter]]&gt;="2020-Q2", Fact_Financials_Master[[#This Row],[Year_Quarter]]&lt;="2021-Q2"), "CARES_Period", "Normal_Period")</f>
        <v>Normal_Period</v>
      </c>
    </row>
    <row r="36" spans="1:8" x14ac:dyDescent="0.25">
      <c r="A36" t="s">
        <v>13</v>
      </c>
      <c r="B36" s="1" t="s">
        <v>4</v>
      </c>
      <c r="C36">
        <v>-284356</v>
      </c>
      <c r="D36">
        <v>85.89</v>
      </c>
      <c r="E36">
        <v>6108540</v>
      </c>
      <c r="F36">
        <v>-116484</v>
      </c>
      <c r="G36">
        <v>1895494511</v>
      </c>
      <c r="H36" t="str">
        <f>IF(AND(Fact_Financials_Master[[#This Row],[Year_Quarter]]&gt;="2020-Q2", Fact_Financials_Master[[#This Row],[Year_Quarter]]&lt;="2021-Q2"), "CARES_Period", "Normal_Period")</f>
        <v>Normal_Period</v>
      </c>
    </row>
    <row r="37" spans="1:8" x14ac:dyDescent="0.25">
      <c r="A37" t="s">
        <v>5</v>
      </c>
      <c r="B37" s="1" t="s">
        <v>63</v>
      </c>
      <c r="C37">
        <v>30782</v>
      </c>
      <c r="D37">
        <v>86.516666666666666</v>
      </c>
      <c r="E37">
        <v>4020052</v>
      </c>
      <c r="F37">
        <v>172174</v>
      </c>
      <c r="G37">
        <v>782707780</v>
      </c>
      <c r="H37" t="str">
        <f>IF(AND(Fact_Financials_Master[[#This Row],[Year_Quarter]]&gt;="2020-Q2", Fact_Financials_Master[[#This Row],[Year_Quarter]]&lt;="2021-Q2"), "CARES_Period", "Normal_Period")</f>
        <v>Normal_Period</v>
      </c>
    </row>
    <row r="38" spans="1:8" x14ac:dyDescent="0.25">
      <c r="A38" t="s">
        <v>52</v>
      </c>
      <c r="B38" s="1" t="s">
        <v>63</v>
      </c>
      <c r="C38">
        <v>-1356728</v>
      </c>
      <c r="D38">
        <v>63.443333333333335</v>
      </c>
      <c r="E38">
        <v>3220602</v>
      </c>
      <c r="F38">
        <v>-3190117.3200000003</v>
      </c>
      <c r="G38">
        <v>613885788</v>
      </c>
      <c r="H38" t="str">
        <f>IF(AND(Fact_Financials_Master[[#This Row],[Year_Quarter]]&gt;="2020-Q2", Fact_Financials_Master[[#This Row],[Year_Quarter]]&lt;="2021-Q2"), "CARES_Period", "Normal_Period")</f>
        <v>CARES_Period</v>
      </c>
    </row>
    <row r="39" spans="1:8" x14ac:dyDescent="0.25">
      <c r="A39" t="s">
        <v>5</v>
      </c>
      <c r="B39" s="1" t="s">
        <v>64</v>
      </c>
      <c r="C39">
        <v>90720</v>
      </c>
      <c r="D39">
        <v>77.043333333333337</v>
      </c>
      <c r="E39">
        <v>2615964</v>
      </c>
      <c r="F39">
        <v>123099</v>
      </c>
      <c r="G39">
        <v>691349106</v>
      </c>
      <c r="H39" t="str">
        <f>IF(AND(Fact_Financials_Master[[#This Row],[Year_Quarter]]&gt;="2020-Q2", Fact_Financials_Master[[#This Row],[Year_Quarter]]&lt;="2021-Q2"), "CARES_Period", "Normal_Period")</f>
        <v>Normal_Period</v>
      </c>
    </row>
    <row r="40" spans="1:8" x14ac:dyDescent="0.25">
      <c r="A40" t="s">
        <v>14</v>
      </c>
      <c r="B40" s="1" t="s">
        <v>4</v>
      </c>
      <c r="C40">
        <v>-153152</v>
      </c>
      <c r="D40">
        <v>85.693333333333328</v>
      </c>
      <c r="E40">
        <v>6370948</v>
      </c>
      <c r="F40">
        <v>9503</v>
      </c>
      <c r="G40">
        <v>1946783065</v>
      </c>
      <c r="H40" t="str">
        <f>IF(AND(Fact_Financials_Master[[#This Row],[Year_Quarter]]&gt;="2020-Q2", Fact_Financials_Master[[#This Row],[Year_Quarter]]&lt;="2021-Q2"), "CARES_Period", "Normal_Period")</f>
        <v>Normal_Period</v>
      </c>
    </row>
    <row r="41" spans="1:8" x14ac:dyDescent="0.25">
      <c r="A41" t="s">
        <v>50</v>
      </c>
      <c r="B41" s="1" t="s">
        <v>62</v>
      </c>
      <c r="C41">
        <v>-5381342</v>
      </c>
      <c r="D41">
        <v>43.243333333333332</v>
      </c>
      <c r="E41">
        <v>3064708</v>
      </c>
      <c r="F41">
        <v>-2292385</v>
      </c>
      <c r="G41">
        <v>410228181</v>
      </c>
      <c r="H41" t="str">
        <f>IF(AND(Fact_Financials_Master[[#This Row],[Year_Quarter]]&gt;="2020-Q2", Fact_Financials_Master[[#This Row],[Year_Quarter]]&lt;="2021-Q2"), "CARES_Period", "Normal_Period")</f>
        <v>CARES_Period</v>
      </c>
    </row>
    <row r="42" spans="1:8" x14ac:dyDescent="0.25">
      <c r="A42" t="s">
        <v>6</v>
      </c>
      <c r="B42" s="1" t="s">
        <v>66</v>
      </c>
      <c r="C42">
        <v>77312</v>
      </c>
      <c r="D42">
        <v>82.023333333333341</v>
      </c>
      <c r="E42">
        <v>858940</v>
      </c>
      <c r="F42">
        <v>144603</v>
      </c>
      <c r="G42">
        <v>148005291</v>
      </c>
      <c r="H42" t="str">
        <f>IF(AND(Fact_Financials_Master[[#This Row],[Year_Quarter]]&gt;="2020-Q2", Fact_Financials_Master[[#This Row],[Year_Quarter]]&lt;="2021-Q2"), "CARES_Period", "Normal_Period")</f>
        <v>Normal_Period</v>
      </c>
    </row>
    <row r="43" spans="1:8" x14ac:dyDescent="0.25">
      <c r="A43" t="s">
        <v>15</v>
      </c>
      <c r="B43" s="1" t="s">
        <v>4</v>
      </c>
      <c r="C43">
        <v>-1097082</v>
      </c>
      <c r="D43">
        <v>83.88333333333334</v>
      </c>
      <c r="E43">
        <v>5950882</v>
      </c>
      <c r="F43">
        <v>-797426</v>
      </c>
      <c r="G43">
        <v>1720946322</v>
      </c>
      <c r="H43" t="str">
        <f>IF(AND(Fact_Financials_Master[[#This Row],[Year_Quarter]]&gt;="2020-Q2", Fact_Financials_Master[[#This Row],[Year_Quarter]]&lt;="2021-Q2"), "CARES_Period", "Normal_Period")</f>
        <v>Normal_Period</v>
      </c>
    </row>
    <row r="44" spans="1:8" x14ac:dyDescent="0.25">
      <c r="A44" t="s">
        <v>6</v>
      </c>
      <c r="B44" s="1" t="s">
        <v>65</v>
      </c>
      <c r="C44">
        <v>14831</v>
      </c>
      <c r="D44">
        <v>83.99666666666667</v>
      </c>
      <c r="E44">
        <v>855531</v>
      </c>
      <c r="F44">
        <v>66257.52</v>
      </c>
      <c r="G44">
        <v>245603348</v>
      </c>
      <c r="H44" t="str">
        <f>IF(AND(Fact_Financials_Master[[#This Row],[Year_Quarter]]&gt;="2020-Q2", Fact_Financials_Master[[#This Row],[Year_Quarter]]&lt;="2021-Q2"), "CARES_Period", "Normal_Period")</f>
        <v>Normal_Period</v>
      </c>
    </row>
    <row r="45" spans="1:8" x14ac:dyDescent="0.25">
      <c r="A45" t="s">
        <v>51</v>
      </c>
      <c r="B45" s="1" t="s">
        <v>4</v>
      </c>
      <c r="C45">
        <v>-2037012</v>
      </c>
      <c r="D45">
        <v>68.156666666666666</v>
      </c>
      <c r="E45">
        <v>4026894</v>
      </c>
      <c r="F45">
        <v>-2438663.1300000004</v>
      </c>
      <c r="G45">
        <v>486961900</v>
      </c>
      <c r="H45" t="str">
        <f>IF(AND(Fact_Financials_Master[[#This Row],[Year_Quarter]]&gt;="2020-Q2", Fact_Financials_Master[[#This Row],[Year_Quarter]]&lt;="2021-Q2"), "CARES_Period", "Normal_Period")</f>
        <v>CARES_Period</v>
      </c>
    </row>
    <row r="46" spans="1:8" x14ac:dyDescent="0.25">
      <c r="A46" t="s">
        <v>6</v>
      </c>
      <c r="B46" s="1" t="s">
        <v>62</v>
      </c>
      <c r="C46">
        <v>-87359</v>
      </c>
      <c r="D46">
        <v>88.03</v>
      </c>
      <c r="E46">
        <v>4795666</v>
      </c>
      <c r="F46">
        <v>67033</v>
      </c>
      <c r="G46">
        <v>1217848205</v>
      </c>
      <c r="H46" t="str">
        <f>IF(AND(Fact_Financials_Master[[#This Row],[Year_Quarter]]&gt;="2020-Q2", Fact_Financials_Master[[#This Row],[Year_Quarter]]&lt;="2021-Q2"), "CARES_Period", "Normal_Period")</f>
        <v>Normal_Period</v>
      </c>
    </row>
    <row r="47" spans="1:8" x14ac:dyDescent="0.25">
      <c r="A47" t="s">
        <v>16</v>
      </c>
      <c r="B47" s="1" t="s">
        <v>4</v>
      </c>
      <c r="C47">
        <v>-1676208</v>
      </c>
      <c r="D47">
        <v>80.430000000000007</v>
      </c>
      <c r="E47">
        <v>6031446</v>
      </c>
      <c r="F47">
        <v>-101073</v>
      </c>
      <c r="G47">
        <v>1865086721</v>
      </c>
      <c r="H47" t="str">
        <f>IF(AND(Fact_Financials_Master[[#This Row],[Year_Quarter]]&gt;="2020-Q2", Fact_Financials_Master[[#This Row],[Year_Quarter]]&lt;="2021-Q2"), "CARES_Period", "Normal_Period")</f>
        <v>Normal_Period</v>
      </c>
    </row>
    <row r="48" spans="1:8" x14ac:dyDescent="0.25">
      <c r="A48" t="s">
        <v>6</v>
      </c>
      <c r="B48" s="1" t="s">
        <v>68</v>
      </c>
      <c r="C48">
        <v>286779</v>
      </c>
      <c r="D48">
        <v>87.283333333333331</v>
      </c>
      <c r="E48">
        <v>301432</v>
      </c>
      <c r="F48">
        <v>31054.87</v>
      </c>
      <c r="G48">
        <v>72138140</v>
      </c>
      <c r="H48" t="str">
        <f>IF(AND(Fact_Financials_Master[[#This Row],[Year_Quarter]]&gt;="2020-Q2", Fact_Financials_Master[[#This Row],[Year_Quarter]]&lt;="2021-Q2"), "CARES_Period", "Normal_Period")</f>
        <v>Normal_Period</v>
      </c>
    </row>
    <row r="49" spans="1:8" x14ac:dyDescent="0.25">
      <c r="A49" t="s">
        <v>52</v>
      </c>
      <c r="B49" s="1" t="s">
        <v>62</v>
      </c>
      <c r="C49">
        <v>-1181408</v>
      </c>
      <c r="D49">
        <v>48.693333333333335</v>
      </c>
      <c r="E49">
        <v>4152660</v>
      </c>
      <c r="F49">
        <v>-2494911</v>
      </c>
      <c r="G49">
        <v>889222115</v>
      </c>
      <c r="H49" t="str">
        <f>IF(AND(Fact_Financials_Master[[#This Row],[Year_Quarter]]&gt;="2020-Q2", Fact_Financials_Master[[#This Row],[Year_Quarter]]&lt;="2021-Q2"), "CARES_Period", "Normal_Period")</f>
        <v>CARES_Period</v>
      </c>
    </row>
    <row r="50" spans="1:8" x14ac:dyDescent="0.25">
      <c r="A50" t="s">
        <v>6</v>
      </c>
      <c r="B50" s="1" t="s">
        <v>61</v>
      </c>
      <c r="C50">
        <v>17236</v>
      </c>
      <c r="D50">
        <v>89.86666666666666</v>
      </c>
      <c r="E50">
        <v>127478</v>
      </c>
      <c r="F50">
        <v>18299</v>
      </c>
      <c r="G50">
        <v>47985455</v>
      </c>
      <c r="H50" t="str">
        <f>IF(AND(Fact_Financials_Master[[#This Row],[Year_Quarter]]&gt;="2020-Q2", Fact_Financials_Master[[#This Row],[Year_Quarter]]&lt;="2021-Q2"), "CARES_Period", "Normal_Period")</f>
        <v>Normal_Period</v>
      </c>
    </row>
    <row r="51" spans="1:8" x14ac:dyDescent="0.25">
      <c r="A51" t="s">
        <v>17</v>
      </c>
      <c r="B51" s="1" t="s">
        <v>4</v>
      </c>
      <c r="C51">
        <v>-263749</v>
      </c>
      <c r="D51">
        <v>86.696666666666658</v>
      </c>
      <c r="E51">
        <v>6447195</v>
      </c>
      <c r="F51">
        <v>121736</v>
      </c>
      <c r="G51">
        <v>1903104137</v>
      </c>
      <c r="H51" t="str">
        <f>IF(AND(Fact_Financials_Master[[#This Row],[Year_Quarter]]&gt;="2020-Q2", Fact_Financials_Master[[#This Row],[Year_Quarter]]&lt;="2021-Q2"), "CARES_Period", "Normal_Period")</f>
        <v>Normal_Period</v>
      </c>
    </row>
    <row r="52" spans="1:8" x14ac:dyDescent="0.25">
      <c r="A52" t="s">
        <v>6</v>
      </c>
      <c r="B52" s="1" t="s">
        <v>60</v>
      </c>
      <c r="C52">
        <v>31342</v>
      </c>
      <c r="D52">
        <v>86.446666666666658</v>
      </c>
      <c r="E52">
        <v>305664</v>
      </c>
      <c r="F52">
        <v>24463.42</v>
      </c>
      <c r="G52">
        <v>65644814</v>
      </c>
      <c r="H52" t="str">
        <f>IF(AND(Fact_Financials_Master[[#This Row],[Year_Quarter]]&gt;="2020-Q2", Fact_Financials_Master[[#This Row],[Year_Quarter]]&lt;="2021-Q2"), "CARES_Period", "Normal_Period")</f>
        <v>Normal_Period</v>
      </c>
    </row>
    <row r="53" spans="1:8" x14ac:dyDescent="0.25">
      <c r="A53" t="s">
        <v>51</v>
      </c>
      <c r="B53" s="1" t="s">
        <v>63</v>
      </c>
      <c r="C53">
        <v>-1896466</v>
      </c>
      <c r="D53">
        <v>63.06666666666667</v>
      </c>
      <c r="E53">
        <v>3412579</v>
      </c>
      <c r="F53">
        <v>-2586930.4700000002</v>
      </c>
      <c r="G53">
        <v>487654916</v>
      </c>
      <c r="H53" t="str">
        <f>IF(AND(Fact_Financials_Master[[#This Row],[Year_Quarter]]&gt;="2020-Q2", Fact_Financials_Master[[#This Row],[Year_Quarter]]&lt;="2021-Q2"), "CARES_Period", "Normal_Period")</f>
        <v>CARES_Period</v>
      </c>
    </row>
    <row r="54" spans="1:8" x14ac:dyDescent="0.25">
      <c r="A54" t="s">
        <v>6</v>
      </c>
      <c r="B54" s="1" t="s">
        <v>67</v>
      </c>
      <c r="C54">
        <v>14281</v>
      </c>
      <c r="D54">
        <v>83.296666666666667</v>
      </c>
      <c r="E54">
        <v>178608</v>
      </c>
      <c r="F54">
        <v>25938</v>
      </c>
      <c r="G54">
        <v>53201000</v>
      </c>
      <c r="H54" t="str">
        <f>IF(AND(Fact_Financials_Master[[#This Row],[Year_Quarter]]&gt;="2020-Q2", Fact_Financials_Master[[#This Row],[Year_Quarter]]&lt;="2021-Q2"), "CARES_Period", "Normal_Period")</f>
        <v>Normal_Period</v>
      </c>
    </row>
    <row r="55" spans="1:8" x14ac:dyDescent="0.25">
      <c r="A55" t="s">
        <v>18</v>
      </c>
      <c r="B55" s="1" t="s">
        <v>4</v>
      </c>
      <c r="C55">
        <v>-256922</v>
      </c>
      <c r="D55">
        <v>85.68</v>
      </c>
      <c r="E55">
        <v>6421755</v>
      </c>
      <c r="F55">
        <v>26537</v>
      </c>
      <c r="G55">
        <v>1882491065</v>
      </c>
      <c r="H55" t="str">
        <f>IF(AND(Fact_Financials_Master[[#This Row],[Year_Quarter]]&gt;="2020-Q2", Fact_Financials_Master[[#This Row],[Year_Quarter]]&lt;="2021-Q2"), "CARES_Period", "Normal_Period")</f>
        <v>Normal_Period</v>
      </c>
    </row>
    <row r="56" spans="1:8" x14ac:dyDescent="0.25">
      <c r="A56" t="s">
        <v>6</v>
      </c>
      <c r="B56" s="1" t="s">
        <v>63</v>
      </c>
      <c r="C56">
        <v>-54342</v>
      </c>
      <c r="D56">
        <v>86.563333333333333</v>
      </c>
      <c r="E56">
        <v>4435164</v>
      </c>
      <c r="F56">
        <v>130159</v>
      </c>
      <c r="G56">
        <v>960760482</v>
      </c>
      <c r="H56" t="str">
        <f>IF(AND(Fact_Financials_Master[[#This Row],[Year_Quarter]]&gt;="2020-Q2", Fact_Financials_Master[[#This Row],[Year_Quarter]]&lt;="2021-Q2"), "CARES_Period", "Normal_Period")</f>
        <v>Normal_Period</v>
      </c>
    </row>
    <row r="57" spans="1:8" x14ac:dyDescent="0.25">
      <c r="A57" t="s">
        <v>51</v>
      </c>
      <c r="B57" s="1" t="s">
        <v>62</v>
      </c>
      <c r="C57">
        <v>-792997</v>
      </c>
      <c r="D57">
        <v>43.886666666666663</v>
      </c>
      <c r="E57">
        <v>3973935</v>
      </c>
      <c r="F57">
        <v>-1736877</v>
      </c>
      <c r="G57">
        <v>609428451</v>
      </c>
      <c r="H57" t="str">
        <f>IF(AND(Fact_Financials_Master[[#This Row],[Year_Quarter]]&gt;="2020-Q2", Fact_Financials_Master[[#This Row],[Year_Quarter]]&lt;="2021-Q2"), "CARES_Period", "Normal_Period")</f>
        <v>CARES_Period</v>
      </c>
    </row>
    <row r="58" spans="1:8" x14ac:dyDescent="0.25">
      <c r="A58" t="s">
        <v>6</v>
      </c>
      <c r="B58" s="1" t="s">
        <v>64</v>
      </c>
      <c r="C58">
        <v>-16179</v>
      </c>
      <c r="D58">
        <v>79.38</v>
      </c>
      <c r="E58">
        <v>2665584</v>
      </c>
      <c r="F58">
        <v>22177</v>
      </c>
      <c r="G58">
        <v>786032423</v>
      </c>
      <c r="H58" t="str">
        <f>IF(AND(Fact_Financials_Master[[#This Row],[Year_Quarter]]&gt;="2020-Q2", Fact_Financials_Master[[#This Row],[Year_Quarter]]&lt;="2021-Q2"), "CARES_Period", "Normal_Period")</f>
        <v>Normal_Period</v>
      </c>
    </row>
    <row r="59" spans="1:8" x14ac:dyDescent="0.25">
      <c r="A59" t="s">
        <v>19</v>
      </c>
      <c r="B59" s="1" t="s">
        <v>4</v>
      </c>
      <c r="C59">
        <v>270778</v>
      </c>
      <c r="D59">
        <v>83.23</v>
      </c>
      <c r="E59">
        <v>5924671</v>
      </c>
      <c r="F59">
        <v>-6038</v>
      </c>
      <c r="G59">
        <v>1857853853</v>
      </c>
      <c r="H59" t="str">
        <f>IF(AND(Fact_Financials_Master[[#This Row],[Year_Quarter]]&gt;="2020-Q2", Fact_Financials_Master[[#This Row],[Year_Quarter]]&lt;="2021-Q2"), "CARES_Period", "Normal_Period")</f>
        <v>Normal_Period</v>
      </c>
    </row>
    <row r="60" spans="1:8" x14ac:dyDescent="0.25">
      <c r="A60" t="s">
        <v>51</v>
      </c>
      <c r="B60" s="1" t="s">
        <v>64</v>
      </c>
      <c r="C60">
        <v>-908410</v>
      </c>
      <c r="D60">
        <v>54.053333333333335</v>
      </c>
      <c r="E60">
        <v>2013376</v>
      </c>
      <c r="F60">
        <v>-1168470</v>
      </c>
      <c r="G60">
        <v>350332421</v>
      </c>
      <c r="H60" t="str">
        <f>IF(AND(Fact_Financials_Master[[#This Row],[Year_Quarter]]&gt;="2020-Q2", Fact_Financials_Master[[#This Row],[Year_Quarter]]&lt;="2021-Q2"), "CARES_Period", "Normal_Period")</f>
        <v>CARES_Period</v>
      </c>
    </row>
    <row r="61" spans="1:8" x14ac:dyDescent="0.25">
      <c r="A61" t="s">
        <v>7</v>
      </c>
      <c r="B61" s="1" t="s">
        <v>66</v>
      </c>
      <c r="C61">
        <v>18691</v>
      </c>
      <c r="D61">
        <v>80.180000000000007</v>
      </c>
      <c r="E61">
        <v>744701</v>
      </c>
      <c r="F61">
        <v>25648</v>
      </c>
      <c r="G61">
        <v>150875137</v>
      </c>
      <c r="H61" t="str">
        <f>IF(AND(Fact_Financials_Master[[#This Row],[Year_Quarter]]&gt;="2020-Q2", Fact_Financials_Master[[#This Row],[Year_Quarter]]&lt;="2021-Q2"), "CARES_Period", "Normal_Period")</f>
        <v>Normal_Period</v>
      </c>
    </row>
    <row r="62" spans="1:8" x14ac:dyDescent="0.25">
      <c r="A62" t="s">
        <v>20</v>
      </c>
      <c r="B62" s="1" t="s">
        <v>4</v>
      </c>
      <c r="C62">
        <v>-252848</v>
      </c>
      <c r="D62">
        <v>82.320000000000007</v>
      </c>
      <c r="E62">
        <v>6085027</v>
      </c>
      <c r="F62">
        <v>46978</v>
      </c>
      <c r="G62">
        <v>1879909242</v>
      </c>
      <c r="H62" t="str">
        <f>IF(AND(Fact_Financials_Master[[#This Row],[Year_Quarter]]&gt;="2020-Q2", Fact_Financials_Master[[#This Row],[Year_Quarter]]&lt;="2021-Q2"), "CARES_Period", "Normal_Period")</f>
        <v>Normal_Period</v>
      </c>
    </row>
    <row r="63" spans="1:8" x14ac:dyDescent="0.25">
      <c r="A63" t="s">
        <v>7</v>
      </c>
      <c r="B63" s="1" t="s">
        <v>65</v>
      </c>
      <c r="C63">
        <v>11456</v>
      </c>
      <c r="D63">
        <v>80.36</v>
      </c>
      <c r="E63">
        <v>831830</v>
      </c>
      <c r="F63">
        <v>63484.69</v>
      </c>
      <c r="G63">
        <v>227034909</v>
      </c>
      <c r="H63" t="str">
        <f>IF(AND(Fact_Financials_Master[[#This Row],[Year_Quarter]]&gt;="2020-Q2", Fact_Financials_Master[[#This Row],[Year_Quarter]]&lt;="2021-Q2"), "CARES_Period", "Normal_Period")</f>
        <v>Normal_Period</v>
      </c>
    </row>
    <row r="64" spans="1:8" x14ac:dyDescent="0.25">
      <c r="A64" t="s">
        <v>52</v>
      </c>
      <c r="B64" s="1" t="s">
        <v>64</v>
      </c>
      <c r="C64">
        <v>115613</v>
      </c>
      <c r="D64">
        <v>63.519999999999996</v>
      </c>
      <c r="E64">
        <v>2051624</v>
      </c>
      <c r="F64">
        <v>-1017151</v>
      </c>
      <c r="G64">
        <v>455093551</v>
      </c>
      <c r="H64" t="str">
        <f>IF(AND(Fact_Financials_Master[[#This Row],[Year_Quarter]]&gt;="2020-Q2", Fact_Financials_Master[[#This Row],[Year_Quarter]]&lt;="2021-Q2"), "CARES_Period", "Normal_Period")</f>
        <v>CARES_Period</v>
      </c>
    </row>
    <row r="65" spans="1:8" x14ac:dyDescent="0.25">
      <c r="A65" t="s">
        <v>7</v>
      </c>
      <c r="B65" s="1" t="s">
        <v>62</v>
      </c>
      <c r="C65">
        <v>-47803</v>
      </c>
      <c r="D65">
        <v>82.49</v>
      </c>
      <c r="E65">
        <v>4458506</v>
      </c>
      <c r="F65">
        <v>-91765</v>
      </c>
      <c r="G65">
        <v>1004245752</v>
      </c>
      <c r="H65" t="str">
        <f>IF(AND(Fact_Financials_Master[[#This Row],[Year_Quarter]]&gt;="2020-Q2", Fact_Financials_Master[[#This Row],[Year_Quarter]]&lt;="2021-Q2"), "CARES_Period", "Normal_Period")</f>
        <v>Normal_Period</v>
      </c>
    </row>
    <row r="66" spans="1:8" x14ac:dyDescent="0.25">
      <c r="A66" t="s">
        <v>21</v>
      </c>
      <c r="B66" s="1" t="s">
        <v>4</v>
      </c>
      <c r="C66">
        <v>227756</v>
      </c>
      <c r="D66">
        <v>87.036666666666662</v>
      </c>
      <c r="E66">
        <v>6436819</v>
      </c>
      <c r="F66">
        <v>478048</v>
      </c>
      <c r="G66">
        <v>1825113708</v>
      </c>
      <c r="H66" t="str">
        <f>IF(AND(Fact_Financials_Master[[#This Row],[Year_Quarter]]&gt;="2020-Q2", Fact_Financials_Master[[#This Row],[Year_Quarter]]&lt;="2021-Q2"), "CARES_Period", "Normal_Period")</f>
        <v>Normal_Period</v>
      </c>
    </row>
    <row r="67" spans="1:8" x14ac:dyDescent="0.25">
      <c r="A67" t="s">
        <v>7</v>
      </c>
      <c r="B67" s="1" t="s">
        <v>68</v>
      </c>
      <c r="C67">
        <v>-9777</v>
      </c>
      <c r="D67">
        <v>78.903333333333336</v>
      </c>
      <c r="E67">
        <v>272437</v>
      </c>
      <c r="F67">
        <v>-12589.37</v>
      </c>
      <c r="G67">
        <v>79304228</v>
      </c>
      <c r="H67" t="str">
        <f>IF(AND(Fact_Financials_Master[[#This Row],[Year_Quarter]]&gt;="2020-Q2", Fact_Financials_Master[[#This Row],[Year_Quarter]]&lt;="2021-Q2"), "CARES_Period", "Normal_Period")</f>
        <v>Normal_Period</v>
      </c>
    </row>
    <row r="68" spans="1:8" x14ac:dyDescent="0.25">
      <c r="A68" t="s">
        <v>50</v>
      </c>
      <c r="B68" s="1" t="s">
        <v>66</v>
      </c>
      <c r="C68">
        <v>-501257</v>
      </c>
      <c r="D68">
        <v>47.303333333333335</v>
      </c>
      <c r="E68">
        <v>700518</v>
      </c>
      <c r="F68">
        <v>-985565</v>
      </c>
      <c r="G68">
        <v>97849924</v>
      </c>
      <c r="H68" t="str">
        <f>IF(AND(Fact_Financials_Master[[#This Row],[Year_Quarter]]&gt;="2020-Q2", Fact_Financials_Master[[#This Row],[Year_Quarter]]&lt;="2021-Q2"), "CARES_Period", "Normal_Period")</f>
        <v>CARES_Period</v>
      </c>
    </row>
    <row r="69" spans="1:8" x14ac:dyDescent="0.25">
      <c r="A69" t="s">
        <v>7</v>
      </c>
      <c r="B69" s="1" t="s">
        <v>61</v>
      </c>
      <c r="C69">
        <v>14174</v>
      </c>
      <c r="D69">
        <v>90.176666666666662</v>
      </c>
      <c r="E69">
        <v>129820</v>
      </c>
      <c r="F69">
        <v>15163</v>
      </c>
      <c r="G69">
        <v>49447773</v>
      </c>
      <c r="H69" t="str">
        <f>IF(AND(Fact_Financials_Master[[#This Row],[Year_Quarter]]&gt;="2020-Q2", Fact_Financials_Master[[#This Row],[Year_Quarter]]&lt;="2021-Q2"), "CARES_Period", "Normal_Period")</f>
        <v>Normal_Period</v>
      </c>
    </row>
    <row r="70" spans="1:8" x14ac:dyDescent="0.25">
      <c r="A70" t="s">
        <v>22</v>
      </c>
      <c r="B70" s="1" t="s">
        <v>4</v>
      </c>
      <c r="C70">
        <v>289839</v>
      </c>
      <c r="D70">
        <v>85.27</v>
      </c>
      <c r="E70">
        <v>6816608</v>
      </c>
      <c r="F70">
        <v>682591</v>
      </c>
      <c r="G70">
        <v>1894669053</v>
      </c>
      <c r="H70" t="str">
        <f>IF(AND(Fact_Financials_Master[[#This Row],[Year_Quarter]]&gt;="2020-Q2", Fact_Financials_Master[[#This Row],[Year_Quarter]]&lt;="2021-Q2"), "CARES_Period", "Normal_Period")</f>
        <v>Normal_Period</v>
      </c>
    </row>
    <row r="71" spans="1:8" x14ac:dyDescent="0.25">
      <c r="A71" t="s">
        <v>7</v>
      </c>
      <c r="B71" s="1" t="s">
        <v>60</v>
      </c>
      <c r="C71">
        <v>36049</v>
      </c>
      <c r="D71">
        <v>85.316666666666663</v>
      </c>
      <c r="E71">
        <v>297243</v>
      </c>
      <c r="F71">
        <v>17178.809999999998</v>
      </c>
      <c r="G71">
        <v>67457983</v>
      </c>
      <c r="H71" t="str">
        <f>IF(AND(Fact_Financials_Master[[#This Row],[Year_Quarter]]&gt;="2020-Q2", Fact_Financials_Master[[#This Row],[Year_Quarter]]&lt;="2021-Q2"), "CARES_Period", "Normal_Period")</f>
        <v>Normal_Period</v>
      </c>
    </row>
    <row r="72" spans="1:8" x14ac:dyDescent="0.25">
      <c r="A72" t="s">
        <v>56</v>
      </c>
      <c r="B72" s="1" t="s">
        <v>4</v>
      </c>
      <c r="C72">
        <v>-1577921</v>
      </c>
      <c r="D72">
        <v>79.08</v>
      </c>
      <c r="E72">
        <v>8895596</v>
      </c>
      <c r="F72">
        <v>-1695175.88</v>
      </c>
      <c r="G72">
        <v>1888371230</v>
      </c>
      <c r="H72" t="str">
        <f>IF(AND(Fact_Financials_Master[[#This Row],[Year_Quarter]]&gt;="2020-Q2", Fact_Financials_Master[[#This Row],[Year_Quarter]]&lt;="2021-Q2"), "CARES_Period", "Normal_Period")</f>
        <v>Normal_Period</v>
      </c>
    </row>
    <row r="73" spans="1:8" x14ac:dyDescent="0.25">
      <c r="A73" t="s">
        <v>7</v>
      </c>
      <c r="B73" s="1" t="s">
        <v>67</v>
      </c>
      <c r="C73">
        <v>27884</v>
      </c>
      <c r="D73">
        <v>79.39</v>
      </c>
      <c r="E73">
        <v>170994</v>
      </c>
      <c r="F73">
        <v>20106</v>
      </c>
      <c r="G73">
        <v>45947000</v>
      </c>
      <c r="H73" t="str">
        <f>IF(AND(Fact_Financials_Master[[#This Row],[Year_Quarter]]&gt;="2020-Q2", Fact_Financials_Master[[#This Row],[Year_Quarter]]&lt;="2021-Q2"), "CARES_Period", "Normal_Period")</f>
        <v>Normal_Period</v>
      </c>
    </row>
    <row r="74" spans="1:8" x14ac:dyDescent="0.25">
      <c r="A74" t="s">
        <v>23</v>
      </c>
      <c r="B74" s="1" t="s">
        <v>4</v>
      </c>
      <c r="C74">
        <v>-1790454</v>
      </c>
      <c r="D74">
        <v>83.166666666666671</v>
      </c>
      <c r="E74">
        <v>6421791</v>
      </c>
      <c r="F74">
        <v>280716</v>
      </c>
      <c r="G74">
        <v>1814912783</v>
      </c>
      <c r="H74" t="str">
        <f>IF(AND(Fact_Financials_Master[[#This Row],[Year_Quarter]]&gt;="2020-Q2", Fact_Financials_Master[[#This Row],[Year_Quarter]]&lt;="2021-Q2"), "CARES_Period", "Normal_Period")</f>
        <v>Normal_Period</v>
      </c>
    </row>
    <row r="75" spans="1:8" x14ac:dyDescent="0.25">
      <c r="A75" t="s">
        <v>7</v>
      </c>
      <c r="B75" s="1" t="s">
        <v>63</v>
      </c>
      <c r="C75">
        <v>-224113</v>
      </c>
      <c r="D75">
        <v>82.973333333333329</v>
      </c>
      <c r="E75">
        <v>4210448</v>
      </c>
      <c r="F75">
        <v>81644</v>
      </c>
      <c r="G75">
        <v>916534377</v>
      </c>
      <c r="H75" t="str">
        <f>IF(AND(Fact_Financials_Master[[#This Row],[Year_Quarter]]&gt;="2020-Q2", Fact_Financials_Master[[#This Row],[Year_Quarter]]&lt;="2021-Q2"), "CARES_Period", "Normal_Period")</f>
        <v>Normal_Period</v>
      </c>
    </row>
    <row r="76" spans="1:8" x14ac:dyDescent="0.25">
      <c r="A76" t="s">
        <v>56</v>
      </c>
      <c r="B76" s="1" t="s">
        <v>63</v>
      </c>
      <c r="C76">
        <v>-1377168</v>
      </c>
      <c r="D76">
        <v>76.930000000000007</v>
      </c>
      <c r="E76">
        <v>7566359</v>
      </c>
      <c r="F76">
        <v>-1375235.78</v>
      </c>
      <c r="G76">
        <v>1764219818</v>
      </c>
      <c r="H76" t="str">
        <f>IF(AND(Fact_Financials_Master[[#This Row],[Year_Quarter]]&gt;="2020-Q2", Fact_Financials_Master[[#This Row],[Year_Quarter]]&lt;="2021-Q2"), "CARES_Period", "Normal_Period")</f>
        <v>Normal_Period</v>
      </c>
    </row>
    <row r="77" spans="1:8" x14ac:dyDescent="0.25">
      <c r="A77" t="s">
        <v>7</v>
      </c>
      <c r="B77" s="1" t="s">
        <v>64</v>
      </c>
      <c r="C77">
        <v>115790</v>
      </c>
      <c r="D77">
        <v>77.303333333333327</v>
      </c>
      <c r="E77">
        <v>2712217</v>
      </c>
      <c r="F77">
        <v>166716</v>
      </c>
      <c r="G77">
        <v>758083595</v>
      </c>
      <c r="H77" t="str">
        <f>IF(AND(Fact_Financials_Master[[#This Row],[Year_Quarter]]&gt;="2020-Q2", Fact_Financials_Master[[#This Row],[Year_Quarter]]&lt;="2021-Q2"), "CARES_Period", "Normal_Period")</f>
        <v>Normal_Period</v>
      </c>
    </row>
    <row r="78" spans="1:8" x14ac:dyDescent="0.25">
      <c r="A78" t="s">
        <v>24</v>
      </c>
      <c r="B78" s="1" t="s">
        <v>4</v>
      </c>
      <c r="C78">
        <v>400689</v>
      </c>
      <c r="D78">
        <v>82.97</v>
      </c>
      <c r="E78">
        <v>6468962</v>
      </c>
      <c r="F78">
        <v>577408</v>
      </c>
      <c r="G78">
        <v>1820965998</v>
      </c>
      <c r="H78" t="str">
        <f>IF(AND(Fact_Financials_Master[[#This Row],[Year_Quarter]]&gt;="2020-Q2", Fact_Financials_Master[[#This Row],[Year_Quarter]]&lt;="2021-Q2"), "CARES_Period", "Normal_Period")</f>
        <v>Normal_Period</v>
      </c>
    </row>
    <row r="79" spans="1:8" x14ac:dyDescent="0.25">
      <c r="A79" t="s">
        <v>49</v>
      </c>
      <c r="B79" s="1" t="s">
        <v>65</v>
      </c>
      <c r="C79">
        <v>-320561</v>
      </c>
      <c r="D79">
        <v>32.443333333333335</v>
      </c>
      <c r="E79">
        <v>214845</v>
      </c>
      <c r="F79">
        <v>-714045.58000000007</v>
      </c>
      <c r="G79">
        <v>29195127</v>
      </c>
      <c r="H79" t="str">
        <f>IF(AND(Fact_Financials_Master[[#This Row],[Year_Quarter]]&gt;="2020-Q2", Fact_Financials_Master[[#This Row],[Year_Quarter]]&lt;="2021-Q2"), "CARES_Period", "Normal_Period")</f>
        <v>CARES_Period</v>
      </c>
    </row>
    <row r="80" spans="1:8" x14ac:dyDescent="0.25">
      <c r="A80" t="s">
        <v>8</v>
      </c>
      <c r="B80" s="1" t="s">
        <v>66</v>
      </c>
      <c r="C80">
        <v>10749</v>
      </c>
      <c r="D80">
        <v>79.936666666666667</v>
      </c>
      <c r="E80">
        <v>737612</v>
      </c>
      <c r="F80">
        <v>38000</v>
      </c>
      <c r="G80">
        <v>152121928</v>
      </c>
      <c r="H80" t="str">
        <f>IF(AND(Fact_Financials_Master[[#This Row],[Year_Quarter]]&gt;="2020-Q2", Fact_Financials_Master[[#This Row],[Year_Quarter]]&lt;="2021-Q2"), "CARES_Period", "Normal_Period")</f>
        <v>Normal_Period</v>
      </c>
    </row>
    <row r="81" spans="1:8" x14ac:dyDescent="0.25">
      <c r="A81" t="s">
        <v>25</v>
      </c>
      <c r="B81" s="1" t="s">
        <v>4</v>
      </c>
      <c r="C81">
        <v>265411</v>
      </c>
      <c r="D81">
        <v>87.713333333333338</v>
      </c>
      <c r="E81">
        <v>7152840</v>
      </c>
      <c r="F81">
        <v>718119</v>
      </c>
      <c r="G81">
        <v>1848515831</v>
      </c>
      <c r="H81" t="str">
        <f>IF(AND(Fact_Financials_Master[[#This Row],[Year_Quarter]]&gt;="2020-Q2", Fact_Financials_Master[[#This Row],[Year_Quarter]]&lt;="2021-Q2"), "CARES_Period", "Normal_Period")</f>
        <v>Normal_Period</v>
      </c>
    </row>
    <row r="82" spans="1:8" x14ac:dyDescent="0.25">
      <c r="A82" t="s">
        <v>8</v>
      </c>
      <c r="B82" s="1" t="s">
        <v>65</v>
      </c>
      <c r="C82">
        <v>-1398</v>
      </c>
      <c r="D82">
        <v>76.873333333333335</v>
      </c>
      <c r="E82">
        <v>869619</v>
      </c>
      <c r="F82">
        <v>41576.050000000003</v>
      </c>
      <c r="G82">
        <v>254493606</v>
      </c>
      <c r="H82" t="str">
        <f>IF(AND(Fact_Financials_Master[[#This Row],[Year_Quarter]]&gt;="2020-Q2", Fact_Financials_Master[[#This Row],[Year_Quarter]]&lt;="2021-Q2"), "CARES_Period", "Normal_Period")</f>
        <v>Normal_Period</v>
      </c>
    </row>
    <row r="83" spans="1:8" x14ac:dyDescent="0.25">
      <c r="A83" t="s">
        <v>53</v>
      </c>
      <c r="B83" s="1" t="s">
        <v>63</v>
      </c>
      <c r="C83">
        <v>-433825</v>
      </c>
      <c r="D83">
        <v>82.606666666666669</v>
      </c>
      <c r="E83">
        <v>5471679</v>
      </c>
      <c r="F83">
        <v>-1348832.51</v>
      </c>
      <c r="G83">
        <v>903958116</v>
      </c>
      <c r="H83" t="str">
        <f>IF(AND(Fact_Financials_Master[[#This Row],[Year_Quarter]]&gt;="2020-Q2", Fact_Financials_Master[[#This Row],[Year_Quarter]]&lt;="2021-Q2"), "CARES_Period", "Normal_Period")</f>
        <v>CARES_Period</v>
      </c>
    </row>
    <row r="84" spans="1:8" x14ac:dyDescent="0.25">
      <c r="A84" t="s">
        <v>8</v>
      </c>
      <c r="B84" s="1" t="s">
        <v>62</v>
      </c>
      <c r="C84">
        <v>-260733</v>
      </c>
      <c r="D84">
        <v>81.42</v>
      </c>
      <c r="E84">
        <v>6879207</v>
      </c>
      <c r="F84">
        <v>107161</v>
      </c>
      <c r="G84">
        <v>1548361228</v>
      </c>
      <c r="H84" t="str">
        <f>IF(AND(Fact_Financials_Master[[#This Row],[Year_Quarter]]&gt;="2020-Q2", Fact_Financials_Master[[#This Row],[Year_Quarter]]&lt;="2021-Q2"), "CARES_Period", "Normal_Period")</f>
        <v>Normal_Period</v>
      </c>
    </row>
    <row r="85" spans="1:8" x14ac:dyDescent="0.25">
      <c r="A85" t="s">
        <v>26</v>
      </c>
      <c r="B85" s="1" t="s">
        <v>4</v>
      </c>
      <c r="C85">
        <v>465461</v>
      </c>
      <c r="D85">
        <v>86.46</v>
      </c>
      <c r="E85">
        <v>7054509</v>
      </c>
      <c r="F85">
        <v>697557</v>
      </c>
      <c r="G85">
        <v>1840157541</v>
      </c>
      <c r="H85" t="str">
        <f>IF(AND(Fact_Financials_Master[[#This Row],[Year_Quarter]]&gt;="2020-Q2", Fact_Financials_Master[[#This Row],[Year_Quarter]]&lt;="2021-Q2"), "CARES_Period", "Normal_Period")</f>
        <v>Normal_Period</v>
      </c>
    </row>
    <row r="86" spans="1:8" x14ac:dyDescent="0.25">
      <c r="A86" t="s">
        <v>8</v>
      </c>
      <c r="B86" s="1" t="s">
        <v>68</v>
      </c>
      <c r="C86">
        <v>-13554</v>
      </c>
      <c r="D86">
        <v>74.756666666666675</v>
      </c>
      <c r="E86">
        <v>269795</v>
      </c>
      <c r="F86">
        <v>-21888.5</v>
      </c>
      <c r="G86">
        <v>86275535</v>
      </c>
      <c r="H86" t="str">
        <f>IF(AND(Fact_Financials_Master[[#This Row],[Year_Quarter]]&gt;="2020-Q2", Fact_Financials_Master[[#This Row],[Year_Quarter]]&lt;="2021-Q2"), "CARES_Period", "Normal_Period")</f>
        <v>Normal_Period</v>
      </c>
    </row>
    <row r="87" spans="1:8" x14ac:dyDescent="0.25">
      <c r="A87" t="s">
        <v>49</v>
      </c>
      <c r="B87" s="1" t="s">
        <v>66</v>
      </c>
      <c r="C87">
        <v>-261577</v>
      </c>
      <c r="D87">
        <v>35.74</v>
      </c>
      <c r="E87">
        <v>420489</v>
      </c>
      <c r="F87">
        <v>-666145</v>
      </c>
      <c r="G87">
        <v>46042179</v>
      </c>
      <c r="H87" t="str">
        <f>IF(AND(Fact_Financials_Master[[#This Row],[Year_Quarter]]&gt;="2020-Q2", Fact_Financials_Master[[#This Row],[Year_Quarter]]&lt;="2021-Q2"), "CARES_Period", "Normal_Period")</f>
        <v>CARES_Period</v>
      </c>
    </row>
    <row r="88" spans="1:8" x14ac:dyDescent="0.25">
      <c r="A88" t="s">
        <v>8</v>
      </c>
      <c r="B88" s="1" t="s">
        <v>61</v>
      </c>
      <c r="C88">
        <v>31915</v>
      </c>
      <c r="D88">
        <v>91.55</v>
      </c>
      <c r="E88">
        <v>163657</v>
      </c>
      <c r="F88">
        <v>32688</v>
      </c>
      <c r="G88">
        <v>61472352</v>
      </c>
      <c r="H88" t="str">
        <f>IF(AND(Fact_Financials_Master[[#This Row],[Year_Quarter]]&gt;="2020-Q2", Fact_Financials_Master[[#This Row],[Year_Quarter]]&lt;="2021-Q2"), "CARES_Period", "Normal_Period")</f>
        <v>Normal_Period</v>
      </c>
    </row>
    <row r="89" spans="1:8" x14ac:dyDescent="0.25">
      <c r="A89" t="s">
        <v>27</v>
      </c>
      <c r="B89" s="1" t="s">
        <v>4</v>
      </c>
      <c r="C89">
        <v>178177</v>
      </c>
      <c r="D89">
        <v>82.49</v>
      </c>
      <c r="E89">
        <v>6464080</v>
      </c>
      <c r="F89">
        <v>344535</v>
      </c>
      <c r="G89">
        <v>1482134906</v>
      </c>
      <c r="H89" t="str">
        <f>IF(AND(Fact_Financials_Master[[#This Row],[Year_Quarter]]&gt;="2020-Q2", Fact_Financials_Master[[#This Row],[Year_Quarter]]&lt;="2021-Q2"), "CARES_Period", "Normal_Period")</f>
        <v>Normal_Period</v>
      </c>
    </row>
    <row r="90" spans="1:8" x14ac:dyDescent="0.25">
      <c r="A90" t="s">
        <v>8</v>
      </c>
      <c r="B90" s="1" t="s">
        <v>60</v>
      </c>
      <c r="C90">
        <v>1572</v>
      </c>
      <c r="D90">
        <v>84.453333333333333</v>
      </c>
      <c r="E90">
        <v>298389</v>
      </c>
      <c r="F90">
        <v>6965.49</v>
      </c>
      <c r="G90">
        <v>67133683</v>
      </c>
      <c r="H90" t="str">
        <f>IF(AND(Fact_Financials_Master[[#This Row],[Year_Quarter]]&gt;="2020-Q2", Fact_Financials_Master[[#This Row],[Year_Quarter]]&lt;="2021-Q2"), "CARES_Period", "Normal_Period")</f>
        <v>Normal_Period</v>
      </c>
    </row>
    <row r="91" spans="1:8" x14ac:dyDescent="0.25">
      <c r="A91" t="s">
        <v>28</v>
      </c>
      <c r="B91" s="1" t="s">
        <v>4</v>
      </c>
      <c r="C91">
        <v>568888</v>
      </c>
      <c r="D91">
        <v>82.533333333333331</v>
      </c>
      <c r="E91">
        <v>6368699</v>
      </c>
      <c r="F91">
        <v>760228.79</v>
      </c>
      <c r="G91">
        <v>1031026090</v>
      </c>
      <c r="H91" t="str">
        <f>IF(AND(Fact_Financials_Master[[#This Row],[Year_Quarter]]&gt;="2020-Q2", Fact_Financials_Master[[#This Row],[Year_Quarter]]&lt;="2021-Q2"), "CARES_Period", "Normal_Period")</f>
        <v>Normal_Period</v>
      </c>
    </row>
    <row r="92" spans="1:8" x14ac:dyDescent="0.25">
      <c r="A92" t="s">
        <v>8</v>
      </c>
      <c r="B92" s="1" t="s">
        <v>67</v>
      </c>
      <c r="C92">
        <v>11277</v>
      </c>
      <c r="D92">
        <v>81.81</v>
      </c>
      <c r="E92">
        <v>184051</v>
      </c>
      <c r="F92">
        <v>24125</v>
      </c>
      <c r="G92">
        <v>53856000</v>
      </c>
      <c r="H92" t="str">
        <f>IF(AND(Fact_Financials_Master[[#This Row],[Year_Quarter]]&gt;="2020-Q2", Fact_Financials_Master[[#This Row],[Year_Quarter]]&lt;="2021-Q2"), "CARES_Period", "Normal_Period")</f>
        <v>Normal_Period</v>
      </c>
    </row>
    <row r="93" spans="1:8" x14ac:dyDescent="0.25">
      <c r="A93" t="s">
        <v>50</v>
      </c>
      <c r="B93" s="1" t="s">
        <v>65</v>
      </c>
      <c r="C93">
        <v>-392373</v>
      </c>
      <c r="D93">
        <v>42.343333333333334</v>
      </c>
      <c r="E93">
        <v>491939</v>
      </c>
      <c r="F93">
        <v>-685253.39</v>
      </c>
      <c r="G93">
        <v>101316639</v>
      </c>
      <c r="H93" t="str">
        <f>IF(AND(Fact_Financials_Master[[#This Row],[Year_Quarter]]&gt;="2020-Q2", Fact_Financials_Master[[#This Row],[Year_Quarter]]&lt;="2021-Q2"), "CARES_Period", "Normal_Period")</f>
        <v>CARES_Period</v>
      </c>
    </row>
    <row r="94" spans="1:8" x14ac:dyDescent="0.25">
      <c r="A94" t="s">
        <v>8</v>
      </c>
      <c r="B94" s="1" t="s">
        <v>63</v>
      </c>
      <c r="C94">
        <v>-74098</v>
      </c>
      <c r="D94">
        <v>81.596666666666664</v>
      </c>
      <c r="E94">
        <v>4243006</v>
      </c>
      <c r="F94">
        <v>94503</v>
      </c>
      <c r="G94">
        <v>938719391</v>
      </c>
      <c r="H94" t="str">
        <f>IF(AND(Fact_Financials_Master[[#This Row],[Year_Quarter]]&gt;="2020-Q2", Fact_Financials_Master[[#This Row],[Year_Quarter]]&lt;="2021-Q2"), "CARES_Period", "Normal_Period")</f>
        <v>Normal_Period</v>
      </c>
    </row>
    <row r="95" spans="1:8" x14ac:dyDescent="0.25">
      <c r="A95" t="s">
        <v>29</v>
      </c>
      <c r="B95" s="1" t="s">
        <v>4</v>
      </c>
      <c r="C95">
        <v>1051543</v>
      </c>
      <c r="D95">
        <v>86.28</v>
      </c>
      <c r="E95">
        <v>6818839</v>
      </c>
      <c r="F95">
        <v>1205547.3</v>
      </c>
      <c r="G95">
        <v>1149257064</v>
      </c>
      <c r="H95" t="str">
        <f>IF(AND(Fact_Financials_Master[[#This Row],[Year_Quarter]]&gt;="2020-Q2", Fact_Financials_Master[[#This Row],[Year_Quarter]]&lt;="2021-Q2"), "CARES_Period", "Normal_Period")</f>
        <v>Normal_Period</v>
      </c>
    </row>
    <row r="96" spans="1:8" x14ac:dyDescent="0.25">
      <c r="A96" t="s">
        <v>8</v>
      </c>
      <c r="B96" s="1" t="s">
        <v>64</v>
      </c>
      <c r="C96">
        <v>10788</v>
      </c>
      <c r="D96">
        <v>75.653333333333336</v>
      </c>
      <c r="E96">
        <v>2630038</v>
      </c>
      <c r="F96">
        <v>54478</v>
      </c>
      <c r="G96">
        <v>783040831</v>
      </c>
      <c r="H96" t="str">
        <f>IF(AND(Fact_Financials_Master[[#This Row],[Year_Quarter]]&gt;="2020-Q2", Fact_Financials_Master[[#This Row],[Year_Quarter]]&lt;="2021-Q2"), "CARES_Period", "Normal_Period")</f>
        <v>Normal_Period</v>
      </c>
    </row>
    <row r="97" spans="1:8" x14ac:dyDescent="0.25">
      <c r="A97" t="s">
        <v>48</v>
      </c>
      <c r="B97" s="1" t="s">
        <v>63</v>
      </c>
      <c r="C97">
        <v>-1704038</v>
      </c>
      <c r="D97">
        <v>70.653333333333336</v>
      </c>
      <c r="E97">
        <v>7978567</v>
      </c>
      <c r="F97">
        <v>-971679.08</v>
      </c>
      <c r="G97">
        <v>1307507966</v>
      </c>
      <c r="H97" t="str">
        <f>IF(AND(Fact_Financials_Master[[#This Row],[Year_Quarter]]&gt;="2020-Q2", Fact_Financials_Master[[#This Row],[Year_Quarter]]&lt;="2021-Q2"), "CARES_Period", "Normal_Period")</f>
        <v>Normal_Period</v>
      </c>
    </row>
    <row r="98" spans="1:8" x14ac:dyDescent="0.25">
      <c r="A98" t="s">
        <v>30</v>
      </c>
      <c r="B98" s="1" t="s">
        <v>4</v>
      </c>
      <c r="C98">
        <v>1722143</v>
      </c>
      <c r="D98">
        <v>88.11</v>
      </c>
      <c r="E98">
        <v>10732390</v>
      </c>
      <c r="F98">
        <v>2002746.68</v>
      </c>
      <c r="G98">
        <v>1532765621</v>
      </c>
      <c r="H98" t="str">
        <f>IF(AND(Fact_Financials_Master[[#This Row],[Year_Quarter]]&gt;="2020-Q2", Fact_Financials_Master[[#This Row],[Year_Quarter]]&lt;="2021-Q2"), "CARES_Period", "Normal_Period")</f>
        <v>Normal_Period</v>
      </c>
    </row>
    <row r="99" spans="1:8" x14ac:dyDescent="0.25">
      <c r="A99" t="s">
        <v>9</v>
      </c>
      <c r="B99" s="1" t="s">
        <v>66</v>
      </c>
      <c r="C99">
        <v>60301</v>
      </c>
      <c r="D99">
        <v>82.416666666666671</v>
      </c>
      <c r="E99">
        <v>872413</v>
      </c>
      <c r="F99">
        <v>135559</v>
      </c>
      <c r="G99">
        <v>175586335</v>
      </c>
      <c r="H99" t="str">
        <f>IF(AND(Fact_Financials_Master[[#This Row],[Year_Quarter]]&gt;="2020-Q2", Fact_Financials_Master[[#This Row],[Year_Quarter]]&lt;="2021-Q2"), "CARES_Period", "Normal_Period")</f>
        <v>Normal_Period</v>
      </c>
    </row>
    <row r="100" spans="1:8" x14ac:dyDescent="0.25">
      <c r="A100" t="s">
        <v>51</v>
      </c>
      <c r="B100" s="1" t="s">
        <v>66</v>
      </c>
      <c r="C100">
        <v>-428642</v>
      </c>
      <c r="D100">
        <v>44.33</v>
      </c>
      <c r="E100">
        <v>807401</v>
      </c>
      <c r="F100">
        <v>-646730</v>
      </c>
      <c r="G100">
        <v>129732459</v>
      </c>
      <c r="H100" t="str">
        <f>IF(AND(Fact_Financials_Master[[#This Row],[Year_Quarter]]&gt;="2020-Q2", Fact_Financials_Master[[#This Row],[Year_Quarter]]&lt;="2021-Q2"), "CARES_Period", "Normal_Period")</f>
        <v>CARES_Period</v>
      </c>
    </row>
    <row r="101" spans="1:8" x14ac:dyDescent="0.25">
      <c r="A101" t="s">
        <v>9</v>
      </c>
      <c r="B101" s="1" t="s">
        <v>65</v>
      </c>
      <c r="C101">
        <v>30801</v>
      </c>
      <c r="D101">
        <v>82.94</v>
      </c>
      <c r="E101">
        <v>940188</v>
      </c>
      <c r="F101">
        <v>94786.25</v>
      </c>
      <c r="G101">
        <v>278864290</v>
      </c>
      <c r="H101" t="str">
        <f>IF(AND(Fact_Financials_Master[[#This Row],[Year_Quarter]]&gt;="2020-Q2", Fact_Financials_Master[[#This Row],[Year_Quarter]]&lt;="2021-Q2"), "CARES_Period", "Normal_Period")</f>
        <v>Normal_Period</v>
      </c>
    </row>
    <row r="102" spans="1:8" x14ac:dyDescent="0.25">
      <c r="A102" t="s">
        <v>31</v>
      </c>
      <c r="B102" s="1" t="s">
        <v>4</v>
      </c>
      <c r="C102">
        <v>3750106</v>
      </c>
      <c r="D102">
        <v>86.183333333333337</v>
      </c>
      <c r="E102">
        <v>9660917</v>
      </c>
      <c r="F102">
        <v>1063357.77</v>
      </c>
      <c r="G102">
        <v>1242051211</v>
      </c>
      <c r="H102" t="str">
        <f>IF(AND(Fact_Financials_Master[[#This Row],[Year_Quarter]]&gt;="2020-Q2", Fact_Financials_Master[[#This Row],[Year_Quarter]]&lt;="2021-Q2"), "CARES_Period", "Normal_Period")</f>
        <v>Normal_Period</v>
      </c>
    </row>
    <row r="103" spans="1:8" x14ac:dyDescent="0.25">
      <c r="A103" t="s">
        <v>9</v>
      </c>
      <c r="B103" s="1" t="s">
        <v>62</v>
      </c>
      <c r="C103">
        <v>459576</v>
      </c>
      <c r="D103">
        <v>86.843333333333334</v>
      </c>
      <c r="E103">
        <v>8205193</v>
      </c>
      <c r="F103">
        <v>920561</v>
      </c>
      <c r="G103">
        <v>1809776297</v>
      </c>
      <c r="H103" t="str">
        <f>IF(AND(Fact_Financials_Master[[#This Row],[Year_Quarter]]&gt;="2020-Q2", Fact_Financials_Master[[#This Row],[Year_Quarter]]&lt;="2021-Q2"), "CARES_Period", "Normal_Period")</f>
        <v>Normal_Period</v>
      </c>
    </row>
    <row r="104" spans="1:8" x14ac:dyDescent="0.25">
      <c r="A104" t="s">
        <v>52</v>
      </c>
      <c r="B104" s="1" t="s">
        <v>66</v>
      </c>
      <c r="C104">
        <v>-188295</v>
      </c>
      <c r="D104">
        <v>50.96</v>
      </c>
      <c r="E104">
        <v>796808</v>
      </c>
      <c r="F104">
        <v>-611230</v>
      </c>
      <c r="G104">
        <v>183056454</v>
      </c>
      <c r="H104" t="str">
        <f>IF(AND(Fact_Financials_Master[[#This Row],[Year_Quarter]]&gt;="2020-Q2", Fact_Financials_Master[[#This Row],[Year_Quarter]]&lt;="2021-Q2"), "CARES_Period", "Normal_Period")</f>
        <v>CARES_Period</v>
      </c>
    </row>
    <row r="105" spans="1:8" x14ac:dyDescent="0.25">
      <c r="A105" t="s">
        <v>9</v>
      </c>
      <c r="B105" s="1" t="s">
        <v>68</v>
      </c>
      <c r="C105">
        <v>-1486</v>
      </c>
      <c r="D105">
        <v>85.72</v>
      </c>
      <c r="E105">
        <v>316200</v>
      </c>
      <c r="F105">
        <v>-166.70000000000005</v>
      </c>
      <c r="G105">
        <v>106028030</v>
      </c>
      <c r="H105" t="str">
        <f>IF(AND(Fact_Financials_Master[[#This Row],[Year_Quarter]]&gt;="2020-Q2", Fact_Financials_Master[[#This Row],[Year_Quarter]]&lt;="2021-Q2"), "CARES_Period", "Normal_Period")</f>
        <v>Normal_Period</v>
      </c>
    </row>
    <row r="106" spans="1:8" x14ac:dyDescent="0.25">
      <c r="A106" t="s">
        <v>32</v>
      </c>
      <c r="B106" s="1" t="s">
        <v>4</v>
      </c>
      <c r="C106">
        <v>710272</v>
      </c>
      <c r="D106">
        <v>83.14</v>
      </c>
      <c r="E106">
        <v>9497067</v>
      </c>
      <c r="F106">
        <v>1323156</v>
      </c>
      <c r="G106">
        <v>939341523</v>
      </c>
      <c r="H106" t="str">
        <f>IF(AND(Fact_Financials_Master[[#This Row],[Year_Quarter]]&gt;="2020-Q2", Fact_Financials_Master[[#This Row],[Year_Quarter]]&lt;="2021-Q2"), "CARES_Period", "Normal_Period")</f>
        <v>Normal_Period</v>
      </c>
    </row>
    <row r="107" spans="1:8" x14ac:dyDescent="0.25">
      <c r="A107" t="s">
        <v>9</v>
      </c>
      <c r="B107" s="1" t="s">
        <v>61</v>
      </c>
      <c r="C107">
        <v>21789</v>
      </c>
      <c r="D107">
        <v>91.823333333333338</v>
      </c>
      <c r="E107">
        <v>160115</v>
      </c>
      <c r="F107">
        <v>22312</v>
      </c>
      <c r="G107">
        <v>66421881</v>
      </c>
      <c r="H107" t="str">
        <f>IF(AND(Fact_Financials_Master[[#This Row],[Year_Quarter]]&gt;="2020-Q2", Fact_Financials_Master[[#This Row],[Year_Quarter]]&lt;="2021-Q2"), "CARES_Period", "Normal_Period")</f>
        <v>Normal_Period</v>
      </c>
    </row>
    <row r="108" spans="1:8" x14ac:dyDescent="0.25">
      <c r="A108" t="s">
        <v>56</v>
      </c>
      <c r="B108" s="1" t="s">
        <v>62</v>
      </c>
      <c r="C108">
        <v>-905584</v>
      </c>
      <c r="D108">
        <v>79.17</v>
      </c>
      <c r="E108">
        <v>9365458</v>
      </c>
      <c r="F108">
        <v>-684114</v>
      </c>
      <c r="G108">
        <v>1801445799</v>
      </c>
      <c r="H108" t="str">
        <f>IF(AND(Fact_Financials_Master[[#This Row],[Year_Quarter]]&gt;="2020-Q2", Fact_Financials_Master[[#This Row],[Year_Quarter]]&lt;="2021-Q2"), "CARES_Period", "Normal_Period")</f>
        <v>Normal_Period</v>
      </c>
    </row>
    <row r="109" spans="1:8" x14ac:dyDescent="0.25">
      <c r="A109" t="s">
        <v>9</v>
      </c>
      <c r="B109" s="1" t="s">
        <v>60</v>
      </c>
      <c r="C109">
        <v>9877</v>
      </c>
      <c r="D109">
        <v>86.076666666666668</v>
      </c>
      <c r="E109">
        <v>315923</v>
      </c>
      <c r="F109">
        <v>24910.16</v>
      </c>
      <c r="G109">
        <v>75386679</v>
      </c>
      <c r="H109" t="str">
        <f>IF(AND(Fact_Financials_Master[[#This Row],[Year_Quarter]]&gt;="2020-Q2", Fact_Financials_Master[[#This Row],[Year_Quarter]]&lt;="2021-Q2"), "CARES_Period", "Normal_Period")</f>
        <v>Normal_Period</v>
      </c>
    </row>
    <row r="110" spans="1:8" x14ac:dyDescent="0.25">
      <c r="A110" t="s">
        <v>33</v>
      </c>
      <c r="B110" s="1" t="s">
        <v>4</v>
      </c>
      <c r="C110">
        <v>972247</v>
      </c>
      <c r="D110">
        <v>86.33</v>
      </c>
      <c r="E110">
        <v>10449889</v>
      </c>
      <c r="F110">
        <v>1757273.4100000001</v>
      </c>
      <c r="G110">
        <v>1219061714</v>
      </c>
      <c r="H110" t="str">
        <f>IF(AND(Fact_Financials_Master[[#This Row],[Year_Quarter]]&gt;="2020-Q2", Fact_Financials_Master[[#This Row],[Year_Quarter]]&lt;="2021-Q2"), "CARES_Period", "Normal_Period")</f>
        <v>Normal_Period</v>
      </c>
    </row>
    <row r="111" spans="1:8" x14ac:dyDescent="0.25">
      <c r="A111" t="s">
        <v>9</v>
      </c>
      <c r="B111" s="1" t="s">
        <v>67</v>
      </c>
      <c r="C111">
        <v>-59312</v>
      </c>
      <c r="D111">
        <v>81.183333333333337</v>
      </c>
      <c r="E111">
        <v>173395</v>
      </c>
      <c r="F111">
        <v>-2172</v>
      </c>
      <c r="G111">
        <v>60695000</v>
      </c>
      <c r="H111" t="str">
        <f>IF(AND(Fact_Financials_Master[[#This Row],[Year_Quarter]]&gt;="2020-Q2", Fact_Financials_Master[[#This Row],[Year_Quarter]]&lt;="2021-Q2"), "CARES_Period", "Normal_Period")</f>
        <v>Normal_Period</v>
      </c>
    </row>
    <row r="112" spans="1:8" x14ac:dyDescent="0.25">
      <c r="A112" t="s">
        <v>51</v>
      </c>
      <c r="B112" s="1" t="s">
        <v>65</v>
      </c>
      <c r="C112">
        <v>-373435</v>
      </c>
      <c r="D112">
        <v>52.07</v>
      </c>
      <c r="E112">
        <v>661323</v>
      </c>
      <c r="F112">
        <v>-488925.72</v>
      </c>
      <c r="G112">
        <v>133934052</v>
      </c>
      <c r="H112" t="str">
        <f>IF(AND(Fact_Financials_Master[[#This Row],[Year_Quarter]]&gt;="2020-Q2", Fact_Financials_Master[[#This Row],[Year_Quarter]]&lt;="2021-Q2"), "CARES_Period", "Normal_Period")</f>
        <v>CARES_Period</v>
      </c>
    </row>
    <row r="113" spans="1:8" x14ac:dyDescent="0.25">
      <c r="A113" t="s">
        <v>9</v>
      </c>
      <c r="B113" s="1" t="s">
        <v>63</v>
      </c>
      <c r="C113">
        <v>280790</v>
      </c>
      <c r="D113">
        <v>86.816666666666663</v>
      </c>
      <c r="E113">
        <v>5162802</v>
      </c>
      <c r="F113">
        <v>524924</v>
      </c>
      <c r="G113">
        <v>1106298049</v>
      </c>
      <c r="H113" t="str">
        <f>IF(AND(Fact_Financials_Master[[#This Row],[Year_Quarter]]&gt;="2020-Q2", Fact_Financials_Master[[#This Row],[Year_Quarter]]&lt;="2021-Q2"), "CARES_Period", "Normal_Period")</f>
        <v>Normal_Period</v>
      </c>
    </row>
    <row r="114" spans="1:8" x14ac:dyDescent="0.25">
      <c r="A114" t="s">
        <v>34</v>
      </c>
      <c r="B114" s="1" t="s">
        <v>4</v>
      </c>
      <c r="C114">
        <v>758111</v>
      </c>
      <c r="D114">
        <v>85.63</v>
      </c>
      <c r="E114">
        <v>10688632</v>
      </c>
      <c r="F114">
        <v>1432349.56</v>
      </c>
      <c r="G114">
        <v>1314340830</v>
      </c>
      <c r="H114" t="str">
        <f>IF(AND(Fact_Financials_Master[[#This Row],[Year_Quarter]]&gt;="2020-Q2", Fact_Financials_Master[[#This Row],[Year_Quarter]]&lt;="2021-Q2"), "CARES_Period", "Normal_Period")</f>
        <v>Normal_Period</v>
      </c>
    </row>
    <row r="115" spans="1:8" x14ac:dyDescent="0.25">
      <c r="A115" t="s">
        <v>9</v>
      </c>
      <c r="B115" s="1" t="s">
        <v>64</v>
      </c>
      <c r="C115">
        <v>112214</v>
      </c>
      <c r="D115">
        <v>79.319999999999993</v>
      </c>
      <c r="E115">
        <v>3168317</v>
      </c>
      <c r="F115">
        <v>362769</v>
      </c>
      <c r="G115">
        <v>893349762</v>
      </c>
      <c r="H115" t="str">
        <f>IF(AND(Fact_Financials_Master[[#This Row],[Year_Quarter]]&gt;="2020-Q2", Fact_Financials_Master[[#This Row],[Year_Quarter]]&lt;="2021-Q2"), "CARES_Period", "Normal_Period")</f>
        <v>Normal_Period</v>
      </c>
    </row>
    <row r="116" spans="1:8" x14ac:dyDescent="0.25">
      <c r="A116" t="s">
        <v>52</v>
      </c>
      <c r="B116" s="1" t="s">
        <v>65</v>
      </c>
      <c r="C116">
        <v>-246585</v>
      </c>
      <c r="D116">
        <v>67.56</v>
      </c>
      <c r="E116">
        <v>732511</v>
      </c>
      <c r="F116">
        <v>-581293.87</v>
      </c>
      <c r="G116">
        <v>193394073</v>
      </c>
      <c r="H116" t="str">
        <f>IF(AND(Fact_Financials_Master[[#This Row],[Year_Quarter]]&gt;="2020-Q2", Fact_Financials_Master[[#This Row],[Year_Quarter]]&lt;="2021-Q2"), "CARES_Period", "Normal_Period")</f>
        <v>CARES_Period</v>
      </c>
    </row>
    <row r="117" spans="1:8" x14ac:dyDescent="0.25">
      <c r="A117" t="s">
        <v>35</v>
      </c>
      <c r="B117" s="1" t="s">
        <v>4</v>
      </c>
      <c r="C117">
        <v>340583</v>
      </c>
      <c r="D117">
        <v>84.123333333333335</v>
      </c>
      <c r="E117">
        <v>9785949</v>
      </c>
      <c r="F117">
        <v>791407.43</v>
      </c>
      <c r="G117">
        <v>1259803638</v>
      </c>
      <c r="H117" t="str">
        <f>IF(AND(Fact_Financials_Master[[#This Row],[Year_Quarter]]&gt;="2020-Q2", Fact_Financials_Master[[#This Row],[Year_Quarter]]&lt;="2021-Q2"), "CARES_Period", "Normal_Period")</f>
        <v>Normal_Period</v>
      </c>
    </row>
    <row r="118" spans="1:8" x14ac:dyDescent="0.25">
      <c r="A118" t="s">
        <v>10</v>
      </c>
      <c r="B118" s="1" t="s">
        <v>66</v>
      </c>
      <c r="C118">
        <v>116142</v>
      </c>
      <c r="D118">
        <v>84.96</v>
      </c>
      <c r="E118">
        <v>956147</v>
      </c>
      <c r="F118">
        <v>191558</v>
      </c>
      <c r="G118">
        <v>185882871</v>
      </c>
      <c r="H118" t="str">
        <f>IF(AND(Fact_Financials_Master[[#This Row],[Year_Quarter]]&gt;="2020-Q2", Fact_Financials_Master[[#This Row],[Year_Quarter]]&lt;="2021-Q2"), "CARES_Period", "Normal_Period")</f>
        <v>Normal_Period</v>
      </c>
    </row>
    <row r="119" spans="1:8" x14ac:dyDescent="0.25">
      <c r="A119" t="s">
        <v>53</v>
      </c>
      <c r="B119" s="1" t="s">
        <v>4</v>
      </c>
      <c r="C119">
        <v>50899</v>
      </c>
      <c r="D119">
        <v>85.623333333333335</v>
      </c>
      <c r="E119">
        <v>7477994</v>
      </c>
      <c r="F119">
        <v>-1015902.15</v>
      </c>
      <c r="G119">
        <v>1148158301</v>
      </c>
      <c r="H119" t="str">
        <f>IF(AND(Fact_Financials_Master[[#This Row],[Year_Quarter]]&gt;="2020-Q2", Fact_Financials_Master[[#This Row],[Year_Quarter]]&lt;="2021-Q2"), "CARES_Period", "Normal_Period")</f>
        <v>CARES_Period</v>
      </c>
    </row>
    <row r="120" spans="1:8" x14ac:dyDescent="0.25">
      <c r="A120" t="s">
        <v>10</v>
      </c>
      <c r="B120" s="1" t="s">
        <v>65</v>
      </c>
      <c r="C120">
        <v>58209</v>
      </c>
      <c r="D120">
        <v>84.773333333333326</v>
      </c>
      <c r="E120">
        <v>1031700</v>
      </c>
      <c r="F120">
        <v>147680.19</v>
      </c>
      <c r="G120">
        <v>292167539</v>
      </c>
      <c r="H120" t="str">
        <f>IF(AND(Fact_Financials_Master[[#This Row],[Year_Quarter]]&gt;="2020-Q2", Fact_Financials_Master[[#This Row],[Year_Quarter]]&lt;="2021-Q2"), "CARES_Period", "Normal_Period")</f>
        <v>Normal_Period</v>
      </c>
    </row>
    <row r="121" spans="1:8" x14ac:dyDescent="0.25">
      <c r="A121" t="s">
        <v>36</v>
      </c>
      <c r="B121" s="1" t="s">
        <v>4</v>
      </c>
      <c r="C121">
        <v>262590</v>
      </c>
      <c r="D121">
        <v>82.35</v>
      </c>
      <c r="E121">
        <v>9620621</v>
      </c>
      <c r="F121">
        <v>603777.14</v>
      </c>
      <c r="G121">
        <v>1316998181</v>
      </c>
      <c r="H121" t="str">
        <f>IF(AND(Fact_Financials_Master[[#This Row],[Year_Quarter]]&gt;="2020-Q2", Fact_Financials_Master[[#This Row],[Year_Quarter]]&lt;="2021-Q2"), "CARES_Period", "Normal_Period")</f>
        <v>Normal_Period</v>
      </c>
    </row>
    <row r="122" spans="1:8" x14ac:dyDescent="0.25">
      <c r="A122" t="s">
        <v>10</v>
      </c>
      <c r="B122" s="1" t="s">
        <v>62</v>
      </c>
      <c r="C122">
        <v>388696</v>
      </c>
      <c r="D122">
        <v>86.316666666666663</v>
      </c>
      <c r="E122">
        <v>8987339</v>
      </c>
      <c r="F122">
        <v>1197653</v>
      </c>
      <c r="G122">
        <v>1958613863</v>
      </c>
      <c r="H122" t="str">
        <f>IF(AND(Fact_Financials_Master[[#This Row],[Year_Quarter]]&gt;="2020-Q2", Fact_Financials_Master[[#This Row],[Year_Quarter]]&lt;="2021-Q2"), "CARES_Period", "Normal_Period")</f>
        <v>Normal_Period</v>
      </c>
    </row>
    <row r="123" spans="1:8" x14ac:dyDescent="0.25">
      <c r="A123" t="s">
        <v>53</v>
      </c>
      <c r="B123" s="1" t="s">
        <v>62</v>
      </c>
      <c r="C123">
        <v>641091</v>
      </c>
      <c r="D123">
        <v>74.510000000000005</v>
      </c>
      <c r="E123">
        <v>7128296</v>
      </c>
      <c r="F123">
        <v>-534558</v>
      </c>
      <c r="G123">
        <v>1399090614</v>
      </c>
      <c r="H123" t="str">
        <f>IF(AND(Fact_Financials_Master[[#This Row],[Year_Quarter]]&gt;="2020-Q2", Fact_Financials_Master[[#This Row],[Year_Quarter]]&lt;="2021-Q2"), "CARES_Period", "Normal_Period")</f>
        <v>CARES_Period</v>
      </c>
    </row>
    <row r="124" spans="1:8" x14ac:dyDescent="0.25">
      <c r="A124" t="s">
        <v>10</v>
      </c>
      <c r="B124" s="1" t="s">
        <v>68</v>
      </c>
      <c r="C124">
        <v>9556</v>
      </c>
      <c r="D124">
        <v>87.55</v>
      </c>
      <c r="E124">
        <v>346103</v>
      </c>
      <c r="F124">
        <v>17565.8</v>
      </c>
      <c r="G124">
        <v>138654427</v>
      </c>
      <c r="H124" t="str">
        <f>IF(AND(Fact_Financials_Master[[#This Row],[Year_Quarter]]&gt;="2020-Q2", Fact_Financials_Master[[#This Row],[Year_Quarter]]&lt;="2021-Q2"), "CARES_Period", "Normal_Period")</f>
        <v>Normal_Period</v>
      </c>
    </row>
    <row r="125" spans="1:8" x14ac:dyDescent="0.25">
      <c r="A125" t="s">
        <v>37</v>
      </c>
      <c r="B125" s="1" t="s">
        <v>4</v>
      </c>
      <c r="C125">
        <v>826895</v>
      </c>
      <c r="D125">
        <v>86</v>
      </c>
      <c r="E125">
        <v>11101812</v>
      </c>
      <c r="F125">
        <v>1526949.72</v>
      </c>
      <c r="G125">
        <v>1414059555</v>
      </c>
      <c r="H125" t="str">
        <f>IF(AND(Fact_Financials_Master[[#This Row],[Year_Quarter]]&gt;="2020-Q2", Fact_Financials_Master[[#This Row],[Year_Quarter]]&lt;="2021-Q2"), "CARES_Period", "Normal_Period")</f>
        <v>Normal_Period</v>
      </c>
    </row>
    <row r="126" spans="1:8" x14ac:dyDescent="0.25">
      <c r="A126" t="s">
        <v>10</v>
      </c>
      <c r="B126" s="1" t="s">
        <v>61</v>
      </c>
      <c r="C126">
        <v>14085</v>
      </c>
      <c r="D126">
        <v>90</v>
      </c>
      <c r="E126">
        <v>155981</v>
      </c>
      <c r="F126">
        <v>14482</v>
      </c>
      <c r="G126">
        <v>65953853</v>
      </c>
      <c r="H126" t="str">
        <f>IF(AND(Fact_Financials_Master[[#This Row],[Year_Quarter]]&gt;="2020-Q2", Fact_Financials_Master[[#This Row],[Year_Quarter]]&lt;="2021-Q2"), "CARES_Period", "Normal_Period")</f>
        <v>Normal_Period</v>
      </c>
    </row>
    <row r="127" spans="1:8" x14ac:dyDescent="0.25">
      <c r="A127" t="s">
        <v>48</v>
      </c>
      <c r="B127" s="1" t="s">
        <v>62</v>
      </c>
      <c r="C127">
        <v>-511355</v>
      </c>
      <c r="D127">
        <v>72.78</v>
      </c>
      <c r="E127">
        <v>8606741</v>
      </c>
      <c r="F127">
        <v>-326044</v>
      </c>
      <c r="G127">
        <v>1378265322</v>
      </c>
      <c r="H127" t="str">
        <f>IF(AND(Fact_Financials_Master[[#This Row],[Year_Quarter]]&gt;="2020-Q2", Fact_Financials_Master[[#This Row],[Year_Quarter]]&lt;="2021-Q2"), "CARES_Period", "Normal_Period")</f>
        <v>Normal_Period</v>
      </c>
    </row>
    <row r="128" spans="1:8" x14ac:dyDescent="0.25">
      <c r="A128" t="s">
        <v>10</v>
      </c>
      <c r="B128" s="1" t="s">
        <v>60</v>
      </c>
      <c r="C128">
        <v>31760</v>
      </c>
      <c r="D128">
        <v>87.153333333333336</v>
      </c>
      <c r="E128">
        <v>352700</v>
      </c>
      <c r="F128">
        <v>40593.93</v>
      </c>
      <c r="G128">
        <v>80610685</v>
      </c>
      <c r="H128" t="str">
        <f>IF(AND(Fact_Financials_Master[[#This Row],[Year_Quarter]]&gt;="2020-Q2", Fact_Financials_Master[[#This Row],[Year_Quarter]]&lt;="2021-Q2"), "CARES_Period", "Normal_Period")</f>
        <v>Normal_Period</v>
      </c>
    </row>
    <row r="129" spans="1:8" x14ac:dyDescent="0.25">
      <c r="A129" t="s">
        <v>38</v>
      </c>
      <c r="B129" s="1" t="s">
        <v>4</v>
      </c>
      <c r="C129">
        <v>648700</v>
      </c>
      <c r="D129">
        <v>85.11</v>
      </c>
      <c r="E129">
        <v>10875392</v>
      </c>
      <c r="F129">
        <v>1224775.9500000002</v>
      </c>
      <c r="G129">
        <v>1486707737</v>
      </c>
      <c r="H129" t="str">
        <f>IF(AND(Fact_Financials_Master[[#This Row],[Year_Quarter]]&gt;="2020-Q2", Fact_Financials_Master[[#This Row],[Year_Quarter]]&lt;="2021-Q2"), "CARES_Period", "Normal_Period")</f>
        <v>Normal_Period</v>
      </c>
    </row>
    <row r="130" spans="1:8" x14ac:dyDescent="0.25">
      <c r="A130" t="s">
        <v>10</v>
      </c>
      <c r="B130" s="1" t="s">
        <v>67</v>
      </c>
      <c r="C130">
        <v>63944</v>
      </c>
      <c r="D130">
        <v>83.656666666666666</v>
      </c>
      <c r="E130">
        <v>205259</v>
      </c>
      <c r="F130">
        <v>22586</v>
      </c>
      <c r="G130">
        <v>63565000</v>
      </c>
      <c r="H130" t="str">
        <f>IF(AND(Fact_Financials_Master[[#This Row],[Year_Quarter]]&gt;="2020-Q2", Fact_Financials_Master[[#This Row],[Year_Quarter]]&lt;="2021-Q2"), "CARES_Period", "Normal_Period")</f>
        <v>Normal_Period</v>
      </c>
    </row>
    <row r="131" spans="1:8" x14ac:dyDescent="0.25">
      <c r="A131" t="s">
        <v>55</v>
      </c>
      <c r="B131" s="1" t="s">
        <v>4</v>
      </c>
      <c r="C131">
        <v>-893185</v>
      </c>
      <c r="D131">
        <v>84.486666666666665</v>
      </c>
      <c r="E131">
        <v>9426277</v>
      </c>
      <c r="F131">
        <v>-778948.54999999993</v>
      </c>
      <c r="G131">
        <v>1614820281</v>
      </c>
      <c r="H131" t="str">
        <f>IF(AND(Fact_Financials_Master[[#This Row],[Year_Quarter]]&gt;="2020-Q2", Fact_Financials_Master[[#This Row],[Year_Quarter]]&lt;="2021-Q2"), "CARES_Period", "Normal_Period")</f>
        <v>Normal_Period</v>
      </c>
    </row>
    <row r="132" spans="1:8" x14ac:dyDescent="0.25">
      <c r="A132" t="s">
        <v>10</v>
      </c>
      <c r="B132" s="1" t="s">
        <v>63</v>
      </c>
      <c r="C132">
        <v>402531</v>
      </c>
      <c r="D132">
        <v>87.346666666666664</v>
      </c>
      <c r="E132">
        <v>5395978</v>
      </c>
      <c r="F132">
        <v>565515</v>
      </c>
      <c r="G132">
        <v>1130835007</v>
      </c>
      <c r="H132" t="str">
        <f>IF(AND(Fact_Financials_Master[[#This Row],[Year_Quarter]]&gt;="2020-Q2", Fact_Financials_Master[[#This Row],[Year_Quarter]]&lt;="2021-Q2"), "CARES_Period", "Normal_Period")</f>
        <v>Normal_Period</v>
      </c>
    </row>
    <row r="133" spans="1:8" x14ac:dyDescent="0.25">
      <c r="A133" t="s">
        <v>39</v>
      </c>
      <c r="B133" s="1" t="s">
        <v>4</v>
      </c>
      <c r="C133">
        <v>183552</v>
      </c>
      <c r="D133">
        <v>86.35</v>
      </c>
      <c r="E133">
        <v>10597491</v>
      </c>
      <c r="F133">
        <v>676583.41</v>
      </c>
      <c r="G133">
        <v>1554820331</v>
      </c>
      <c r="H133" t="str">
        <f>IF(AND(Fact_Financials_Master[[#This Row],[Year_Quarter]]&gt;="2020-Q2", Fact_Financials_Master[[#This Row],[Year_Quarter]]&lt;="2021-Q2"), "CARES_Period", "Normal_Period")</f>
        <v>Normal_Period</v>
      </c>
    </row>
    <row r="134" spans="1:8" x14ac:dyDescent="0.25">
      <c r="A134" t="s">
        <v>10</v>
      </c>
      <c r="B134" s="1" t="s">
        <v>64</v>
      </c>
      <c r="C134">
        <v>204670</v>
      </c>
      <c r="D134">
        <v>80.733333333333334</v>
      </c>
      <c r="E134">
        <v>3191758</v>
      </c>
      <c r="F134">
        <v>355056</v>
      </c>
      <c r="G134">
        <v>884503155</v>
      </c>
      <c r="H134" t="str">
        <f>IF(AND(Fact_Financials_Master[[#This Row],[Year_Quarter]]&gt;="2020-Q2", Fact_Financials_Master[[#This Row],[Year_Quarter]]&lt;="2021-Q2"), "CARES_Period", "Normal_Period")</f>
        <v>Normal_Period</v>
      </c>
    </row>
    <row r="135" spans="1:8" x14ac:dyDescent="0.25">
      <c r="A135" t="s">
        <v>59</v>
      </c>
      <c r="B135" s="1" t="s">
        <v>64</v>
      </c>
      <c r="C135">
        <v>-220192</v>
      </c>
      <c r="D135">
        <v>83.256666666666675</v>
      </c>
      <c r="E135">
        <v>6172186</v>
      </c>
      <c r="F135">
        <v>-385541</v>
      </c>
      <c r="G135">
        <v>1514713785</v>
      </c>
      <c r="H135" t="str">
        <f>IF(AND(Fact_Financials_Master[[#This Row],[Year_Quarter]]&gt;="2020-Q2", Fact_Financials_Master[[#This Row],[Year_Quarter]]&lt;="2021-Q2"), "CARES_Period", "Normal_Period")</f>
        <v>Normal_Period</v>
      </c>
    </row>
    <row r="136" spans="1:8" x14ac:dyDescent="0.25">
      <c r="A136" t="s">
        <v>40</v>
      </c>
      <c r="B136" s="1" t="s">
        <v>4</v>
      </c>
      <c r="C136">
        <v>236066</v>
      </c>
      <c r="D136">
        <v>83.933333333333337</v>
      </c>
      <c r="E136">
        <v>10398290</v>
      </c>
      <c r="F136">
        <v>447172.26</v>
      </c>
      <c r="G136">
        <v>1666377350</v>
      </c>
      <c r="H136" t="str">
        <f>IF(AND(Fact_Financials_Master[[#This Row],[Year_Quarter]]&gt;="2020-Q2", Fact_Financials_Master[[#This Row],[Year_Quarter]]&lt;="2021-Q2"), "CARES_Period", "Normal_Period")</f>
        <v>Normal_Period</v>
      </c>
    </row>
    <row r="137" spans="1:8" x14ac:dyDescent="0.25">
      <c r="A137" t="s">
        <v>11</v>
      </c>
      <c r="B137" s="1" t="s">
        <v>66</v>
      </c>
      <c r="C137">
        <v>63282</v>
      </c>
      <c r="D137">
        <v>83.686666666666667</v>
      </c>
      <c r="E137">
        <v>860453</v>
      </c>
      <c r="F137">
        <v>90134</v>
      </c>
      <c r="G137">
        <v>197831610</v>
      </c>
      <c r="H137" t="str">
        <f>IF(AND(Fact_Financials_Master[[#This Row],[Year_Quarter]]&gt;="2020-Q2", Fact_Financials_Master[[#This Row],[Year_Quarter]]&lt;="2021-Q2"), "CARES_Period", "Normal_Period")</f>
        <v>Normal_Period</v>
      </c>
    </row>
    <row r="138" spans="1:8" x14ac:dyDescent="0.25">
      <c r="A138" t="s">
        <v>41</v>
      </c>
      <c r="B138" s="1" t="s">
        <v>4</v>
      </c>
      <c r="C138">
        <v>618941</v>
      </c>
      <c r="D138">
        <v>86.916666666666671</v>
      </c>
      <c r="E138">
        <v>11639695</v>
      </c>
      <c r="F138">
        <v>1037383.54</v>
      </c>
      <c r="G138">
        <v>2002453602</v>
      </c>
      <c r="H138" t="str">
        <f>IF(AND(Fact_Financials_Master[[#This Row],[Year_Quarter]]&gt;="2020-Q2", Fact_Financials_Master[[#This Row],[Year_Quarter]]&lt;="2021-Q2"), "CARES_Period", "Normal_Period")</f>
        <v>Normal_Period</v>
      </c>
    </row>
    <row r="139" spans="1:8" x14ac:dyDescent="0.25">
      <c r="A139" t="s">
        <v>11</v>
      </c>
      <c r="B139" s="1" t="s">
        <v>65</v>
      </c>
      <c r="C139">
        <v>9040</v>
      </c>
      <c r="D139">
        <v>82.416666666666657</v>
      </c>
      <c r="E139">
        <v>939309</v>
      </c>
      <c r="F139">
        <v>60276.759999999995</v>
      </c>
      <c r="G139">
        <v>289852121</v>
      </c>
      <c r="H139" t="str">
        <f>IF(AND(Fact_Financials_Master[[#This Row],[Year_Quarter]]&gt;="2020-Q2", Fact_Financials_Master[[#This Row],[Year_Quarter]]&lt;="2021-Q2"), "CARES_Period", "Normal_Period")</f>
        <v>Normal_Period</v>
      </c>
    </row>
    <row r="140" spans="1:8" x14ac:dyDescent="0.25">
      <c r="A140" t="s">
        <v>55</v>
      </c>
      <c r="B140" s="1" t="s">
        <v>63</v>
      </c>
      <c r="C140">
        <v>-645183</v>
      </c>
      <c r="D140">
        <v>82.763333333333335</v>
      </c>
      <c r="E140">
        <v>8191597</v>
      </c>
      <c r="F140">
        <v>-407185.65</v>
      </c>
      <c r="G140">
        <v>1510585611</v>
      </c>
      <c r="H140" t="str">
        <f>IF(AND(Fact_Financials_Master[[#This Row],[Year_Quarter]]&gt;="2020-Q2", Fact_Financials_Master[[#This Row],[Year_Quarter]]&lt;="2021-Q2"), "CARES_Period", "Normal_Period")</f>
        <v>Normal_Period</v>
      </c>
    </row>
    <row r="141" spans="1:8" x14ac:dyDescent="0.25">
      <c r="A141" t="s">
        <v>11</v>
      </c>
      <c r="B141" s="1" t="s">
        <v>62</v>
      </c>
      <c r="C141">
        <v>98451</v>
      </c>
      <c r="D141">
        <v>82.446666666666658</v>
      </c>
      <c r="E141">
        <v>7821963</v>
      </c>
      <c r="F141">
        <v>390405</v>
      </c>
      <c r="G141">
        <v>1862349102</v>
      </c>
      <c r="H141" t="str">
        <f>IF(AND(Fact_Financials_Master[[#This Row],[Year_Quarter]]&gt;="2020-Q2", Fact_Financials_Master[[#This Row],[Year_Quarter]]&lt;="2021-Q2"), "CARES_Period", "Normal_Period")</f>
        <v>Normal_Period</v>
      </c>
    </row>
    <row r="142" spans="1:8" x14ac:dyDescent="0.25">
      <c r="A142" t="s">
        <v>42</v>
      </c>
      <c r="B142" s="1" t="s">
        <v>4</v>
      </c>
      <c r="C142">
        <v>402575</v>
      </c>
      <c r="D142">
        <v>84.86</v>
      </c>
      <c r="E142">
        <v>11556035</v>
      </c>
      <c r="F142">
        <v>669382.78</v>
      </c>
      <c r="G142">
        <v>2126453519</v>
      </c>
      <c r="H142" t="str">
        <f>IF(AND(Fact_Financials_Master[[#This Row],[Year_Quarter]]&gt;="2020-Q2", Fact_Financials_Master[[#This Row],[Year_Quarter]]&lt;="2021-Q2"), "CARES_Period", "Normal_Period")</f>
        <v>Normal_Period</v>
      </c>
    </row>
    <row r="143" spans="1:8" x14ac:dyDescent="0.25">
      <c r="A143" t="s">
        <v>11</v>
      </c>
      <c r="B143" s="1" t="s">
        <v>68</v>
      </c>
      <c r="C143">
        <v>-13895</v>
      </c>
      <c r="D143">
        <v>82.55</v>
      </c>
      <c r="E143">
        <v>384851</v>
      </c>
      <c r="F143">
        <v>-15930.160000000002</v>
      </c>
      <c r="G143">
        <v>136431049</v>
      </c>
      <c r="H143" t="str">
        <f>IF(AND(Fact_Financials_Master[[#This Row],[Year_Quarter]]&gt;="2020-Q2", Fact_Financials_Master[[#This Row],[Year_Quarter]]&lt;="2021-Q2"), "CARES_Period", "Normal_Period")</f>
        <v>Normal_Period</v>
      </c>
    </row>
    <row r="144" spans="1:8" x14ac:dyDescent="0.25">
      <c r="A144" t="s">
        <v>43</v>
      </c>
      <c r="B144" s="1" t="s">
        <v>4</v>
      </c>
      <c r="C144">
        <v>400485</v>
      </c>
      <c r="D144">
        <v>84.436666666666667</v>
      </c>
      <c r="E144">
        <v>10935794</v>
      </c>
      <c r="F144">
        <v>569406.30000000005</v>
      </c>
      <c r="G144">
        <v>1869468014</v>
      </c>
      <c r="H144" t="str">
        <f>IF(AND(Fact_Financials_Master[[#This Row],[Year_Quarter]]&gt;="2020-Q2", Fact_Financials_Master[[#This Row],[Year_Quarter]]&lt;="2021-Q2"), "CARES_Period", "Normal_Period")</f>
        <v>Normal_Period</v>
      </c>
    </row>
    <row r="145" spans="1:8" x14ac:dyDescent="0.25">
      <c r="A145" t="s">
        <v>11</v>
      </c>
      <c r="B145" s="1" t="s">
        <v>61</v>
      </c>
      <c r="C145">
        <v>17157</v>
      </c>
      <c r="D145">
        <v>89.91</v>
      </c>
      <c r="E145">
        <v>155706</v>
      </c>
      <c r="F145">
        <v>17310.77</v>
      </c>
      <c r="G145">
        <v>64459901</v>
      </c>
      <c r="H145" t="str">
        <f>IF(AND(Fact_Financials_Master[[#This Row],[Year_Quarter]]&gt;="2020-Q2", Fact_Financials_Master[[#This Row],[Year_Quarter]]&lt;="2021-Q2"), "CARES_Period", "Normal_Period")</f>
        <v>Normal_Period</v>
      </c>
    </row>
    <row r="146" spans="1:8" x14ac:dyDescent="0.25">
      <c r="A146" t="s">
        <v>49</v>
      </c>
      <c r="B146" s="1" t="s">
        <v>67</v>
      </c>
      <c r="C146">
        <v>-144428</v>
      </c>
      <c r="D146">
        <v>54.13333333333334</v>
      </c>
      <c r="E146">
        <v>138529</v>
      </c>
      <c r="F146">
        <v>-342294.81</v>
      </c>
      <c r="G146">
        <v>19913791</v>
      </c>
      <c r="H146" t="str">
        <f>IF(AND(Fact_Financials_Master[[#This Row],[Year_Quarter]]&gt;="2020-Q2", Fact_Financials_Master[[#This Row],[Year_Quarter]]&lt;="2021-Q2"), "CARES_Period", "Normal_Period")</f>
        <v>CARES_Period</v>
      </c>
    </row>
    <row r="147" spans="1:8" x14ac:dyDescent="0.25">
      <c r="A147" t="s">
        <v>11</v>
      </c>
      <c r="B147" s="1" t="s">
        <v>60</v>
      </c>
      <c r="C147">
        <v>71166</v>
      </c>
      <c r="D147">
        <v>86.67</v>
      </c>
      <c r="E147">
        <v>345209</v>
      </c>
      <c r="F147">
        <v>23026.5</v>
      </c>
      <c r="G147">
        <v>86073690</v>
      </c>
      <c r="H147" t="str">
        <f>IF(AND(Fact_Financials_Master[[#This Row],[Year_Quarter]]&gt;="2020-Q2", Fact_Financials_Master[[#This Row],[Year_Quarter]]&lt;="2021-Q2"), "CARES_Period", "Normal_Period")</f>
        <v>Normal_Period</v>
      </c>
    </row>
    <row r="148" spans="1:8" x14ac:dyDescent="0.25">
      <c r="A148" t="s">
        <v>44</v>
      </c>
      <c r="B148" s="1" t="s">
        <v>4</v>
      </c>
      <c r="C148">
        <v>229855</v>
      </c>
      <c r="D148">
        <v>84.783333333333331</v>
      </c>
      <c r="E148">
        <v>10580585</v>
      </c>
      <c r="F148">
        <v>345380.54000000004</v>
      </c>
      <c r="G148">
        <v>1630714088</v>
      </c>
      <c r="H148" t="str">
        <f>IF(AND(Fact_Financials_Master[[#This Row],[Year_Quarter]]&gt;="2020-Q2", Fact_Financials_Master[[#This Row],[Year_Quarter]]&lt;="2021-Q2"), "CARES_Period", "Normal_Period")</f>
        <v>Normal_Period</v>
      </c>
    </row>
    <row r="149" spans="1:8" x14ac:dyDescent="0.25">
      <c r="A149" t="s">
        <v>11</v>
      </c>
      <c r="B149" s="1" t="s">
        <v>67</v>
      </c>
      <c r="C149">
        <v>9530</v>
      </c>
      <c r="D149">
        <v>85.36</v>
      </c>
      <c r="E149">
        <v>216200</v>
      </c>
      <c r="F149">
        <v>21975.170000000002</v>
      </c>
      <c r="G149">
        <v>70046947</v>
      </c>
      <c r="H149" t="str">
        <f>IF(AND(Fact_Financials_Master[[#This Row],[Year_Quarter]]&gt;="2020-Q2", Fact_Financials_Master[[#This Row],[Year_Quarter]]&lt;="2021-Q2"), "CARES_Period", "Normal_Period")</f>
        <v>Normal_Period</v>
      </c>
    </row>
    <row r="150" spans="1:8" x14ac:dyDescent="0.25">
      <c r="A150" t="s">
        <v>19</v>
      </c>
      <c r="B150" s="1" t="s">
        <v>63</v>
      </c>
      <c r="C150">
        <v>-574336</v>
      </c>
      <c r="D150">
        <v>84.35</v>
      </c>
      <c r="E150">
        <v>8703439</v>
      </c>
      <c r="F150">
        <v>-455535.95999999996</v>
      </c>
      <c r="G150">
        <v>2401929622</v>
      </c>
      <c r="H150" t="str">
        <f>IF(AND(Fact_Financials_Master[[#This Row],[Year_Quarter]]&gt;="2020-Q2", Fact_Financials_Master[[#This Row],[Year_Quarter]]&lt;="2021-Q2"), "CARES_Period", "Normal_Period")</f>
        <v>Normal_Period</v>
      </c>
    </row>
    <row r="151" spans="1:8" x14ac:dyDescent="0.25">
      <c r="A151" t="s">
        <v>11</v>
      </c>
      <c r="B151" s="1" t="s">
        <v>63</v>
      </c>
      <c r="C151">
        <v>-207625</v>
      </c>
      <c r="D151">
        <v>84.173333333333332</v>
      </c>
      <c r="E151">
        <v>4880534</v>
      </c>
      <c r="F151">
        <v>83410</v>
      </c>
      <c r="G151">
        <v>1131262699</v>
      </c>
      <c r="H151" t="str">
        <f>IF(AND(Fact_Financials_Master[[#This Row],[Year_Quarter]]&gt;="2020-Q2", Fact_Financials_Master[[#This Row],[Year_Quarter]]&lt;="2021-Q2"), "CARES_Period", "Normal_Period")</f>
        <v>Normal_Period</v>
      </c>
    </row>
    <row r="152" spans="1:8" x14ac:dyDescent="0.25">
      <c r="A152" t="s">
        <v>45</v>
      </c>
      <c r="B152" s="1" t="s">
        <v>4</v>
      </c>
      <c r="C152">
        <v>713914</v>
      </c>
      <c r="D152">
        <v>89.72999999999999</v>
      </c>
      <c r="E152">
        <v>11958148</v>
      </c>
      <c r="F152">
        <v>1127083.1400000001</v>
      </c>
      <c r="G152">
        <v>1887366245</v>
      </c>
      <c r="H152" t="str">
        <f>IF(AND(Fact_Financials_Master[[#This Row],[Year_Quarter]]&gt;="2020-Q2", Fact_Financials_Master[[#This Row],[Year_Quarter]]&lt;="2021-Q2"), "CARES_Period", "Normal_Period")</f>
        <v>Normal_Period</v>
      </c>
    </row>
    <row r="153" spans="1:8" x14ac:dyDescent="0.25">
      <c r="A153" t="s">
        <v>11</v>
      </c>
      <c r="B153" s="1" t="s">
        <v>64</v>
      </c>
      <c r="C153">
        <v>131236</v>
      </c>
      <c r="D153">
        <v>80.7</v>
      </c>
      <c r="E153">
        <v>3113597</v>
      </c>
      <c r="F153">
        <v>215531</v>
      </c>
      <c r="G153">
        <v>900272436</v>
      </c>
      <c r="H153" t="str">
        <f>IF(AND(Fact_Financials_Master[[#This Row],[Year_Quarter]]&gt;="2020-Q2", Fact_Financials_Master[[#This Row],[Year_Quarter]]&lt;="2021-Q2"), "CARES_Period", "Normal_Period")</f>
        <v>Normal_Period</v>
      </c>
    </row>
    <row r="154" spans="1:8" x14ac:dyDescent="0.25">
      <c r="A154" t="s">
        <v>54</v>
      </c>
      <c r="B154" s="1" t="s">
        <v>4</v>
      </c>
      <c r="C154">
        <v>280351</v>
      </c>
      <c r="D154">
        <v>84.2</v>
      </c>
      <c r="E154">
        <v>8968261</v>
      </c>
      <c r="F154">
        <v>-426907.41</v>
      </c>
      <c r="G154">
        <v>1411999175</v>
      </c>
      <c r="H154" t="str">
        <f>IF(AND(Fact_Financials_Master[[#This Row],[Year_Quarter]]&gt;="2020-Q2", Fact_Financials_Master[[#This Row],[Year_Quarter]]&lt;="2021-Q2"), "CARES_Period", "Normal_Period")</f>
        <v>Normal_Period</v>
      </c>
    </row>
    <row r="155" spans="1:8" x14ac:dyDescent="0.25">
      <c r="A155" t="s">
        <v>46</v>
      </c>
      <c r="B155" s="1" t="s">
        <v>4</v>
      </c>
      <c r="C155">
        <v>507896</v>
      </c>
      <c r="D155">
        <v>87.48</v>
      </c>
      <c r="E155">
        <v>11909847</v>
      </c>
      <c r="F155">
        <v>828289.03</v>
      </c>
      <c r="G155">
        <v>1887150003</v>
      </c>
      <c r="H155" t="str">
        <f>IF(AND(Fact_Financials_Master[[#This Row],[Year_Quarter]]&gt;="2020-Q2", Fact_Financials_Master[[#This Row],[Year_Quarter]]&lt;="2021-Q2"), "CARES_Period", "Normal_Period")</f>
        <v>Normal_Period</v>
      </c>
    </row>
    <row r="156" spans="1:8" x14ac:dyDescent="0.25">
      <c r="A156" t="s">
        <v>12</v>
      </c>
      <c r="B156" s="1" t="s">
        <v>66</v>
      </c>
      <c r="C156">
        <v>79837</v>
      </c>
      <c r="D156">
        <v>82.976666666666674</v>
      </c>
      <c r="E156">
        <v>962809</v>
      </c>
      <c r="F156">
        <v>46459</v>
      </c>
      <c r="G156">
        <v>271969873</v>
      </c>
      <c r="H156" t="str">
        <f>IF(AND(Fact_Financials_Master[[#This Row],[Year_Quarter]]&gt;="2020-Q2", Fact_Financials_Master[[#This Row],[Year_Quarter]]&lt;="2021-Q2"), "CARES_Period", "Normal_Period")</f>
        <v>Normal_Period</v>
      </c>
    </row>
    <row r="157" spans="1:8" x14ac:dyDescent="0.25">
      <c r="A157" t="s">
        <v>24</v>
      </c>
      <c r="B157" s="1" t="s">
        <v>63</v>
      </c>
      <c r="C157">
        <v>-579988</v>
      </c>
      <c r="D157">
        <v>85.093333333333334</v>
      </c>
      <c r="E157">
        <v>8696283</v>
      </c>
      <c r="F157">
        <v>-340694.86</v>
      </c>
      <c r="G157">
        <v>2253932922</v>
      </c>
      <c r="H157" t="str">
        <f>IF(AND(Fact_Financials_Master[[#This Row],[Year_Quarter]]&gt;="2020-Q2", Fact_Financials_Master[[#This Row],[Year_Quarter]]&lt;="2021-Q2"), "CARES_Period", "Normal_Period")</f>
        <v>Normal_Period</v>
      </c>
    </row>
    <row r="158" spans="1:8" x14ac:dyDescent="0.25">
      <c r="A158" t="s">
        <v>12</v>
      </c>
      <c r="B158" s="1" t="s">
        <v>65</v>
      </c>
      <c r="C158">
        <v>3364</v>
      </c>
      <c r="D158">
        <v>81.846666666666664</v>
      </c>
      <c r="E158">
        <v>1012854</v>
      </c>
      <c r="F158">
        <v>44904.240000000005</v>
      </c>
      <c r="G158">
        <v>352790622</v>
      </c>
      <c r="H158" t="str">
        <f>IF(AND(Fact_Financials_Master[[#This Row],[Year_Quarter]]&gt;="2020-Q2", Fact_Financials_Master[[#This Row],[Year_Quarter]]&lt;="2021-Q2"), "CARES_Period", "Normal_Period")</f>
        <v>Normal_Period</v>
      </c>
    </row>
    <row r="159" spans="1:8" x14ac:dyDescent="0.25">
      <c r="A159" t="s">
        <v>47</v>
      </c>
      <c r="B159" s="1" t="s">
        <v>4</v>
      </c>
      <c r="C159">
        <v>520460</v>
      </c>
      <c r="D159">
        <v>85.44</v>
      </c>
      <c r="E159">
        <v>11312544</v>
      </c>
      <c r="F159">
        <v>746014.71000000008</v>
      </c>
      <c r="G159">
        <v>1727832692</v>
      </c>
      <c r="H159" t="str">
        <f>IF(AND(Fact_Financials_Master[[#This Row],[Year_Quarter]]&gt;="2020-Q2", Fact_Financials_Master[[#This Row],[Year_Quarter]]&lt;="2021-Q2"), "CARES_Period", "Normal_Period")</f>
        <v>Normal_Period</v>
      </c>
    </row>
    <row r="160" spans="1:8" x14ac:dyDescent="0.25">
      <c r="A160" t="s">
        <v>12</v>
      </c>
      <c r="B160" s="1" t="s">
        <v>62</v>
      </c>
      <c r="C160">
        <v>-295020</v>
      </c>
      <c r="D160">
        <v>80.373333333333335</v>
      </c>
      <c r="E160">
        <v>7798984</v>
      </c>
      <c r="F160">
        <v>-74431</v>
      </c>
      <c r="G160">
        <v>2093561204</v>
      </c>
      <c r="H160" t="str">
        <f>IF(AND(Fact_Financials_Master[[#This Row],[Year_Quarter]]&gt;="2020-Q2", Fact_Financials_Master[[#This Row],[Year_Quarter]]&lt;="2021-Q2"), "CARES_Period", "Normal_Period")</f>
        <v>Normal_Period</v>
      </c>
    </row>
    <row r="161" spans="1:8" x14ac:dyDescent="0.25">
      <c r="A161" t="s">
        <v>57</v>
      </c>
      <c r="B161" s="1" t="s">
        <v>4</v>
      </c>
      <c r="C161">
        <v>522137</v>
      </c>
      <c r="D161">
        <v>91.11</v>
      </c>
      <c r="E161">
        <v>13421089</v>
      </c>
      <c r="F161">
        <v>1034485.2000000001</v>
      </c>
      <c r="G161">
        <v>3099591671</v>
      </c>
      <c r="H161" t="str">
        <f>IF(AND(Fact_Financials_Master[[#This Row],[Year_Quarter]]&gt;="2020-Q2", Fact_Financials_Master[[#This Row],[Year_Quarter]]&lt;="2021-Q2"), "CARES_Period", "Normal_Period")</f>
        <v>Normal_Period</v>
      </c>
    </row>
    <row r="162" spans="1:8" x14ac:dyDescent="0.25">
      <c r="A162" t="s">
        <v>12</v>
      </c>
      <c r="B162" s="1" t="s">
        <v>68</v>
      </c>
      <c r="C162">
        <v>-36469</v>
      </c>
      <c r="D162">
        <v>79.733333333333334</v>
      </c>
      <c r="E162">
        <v>387055</v>
      </c>
      <c r="F162">
        <v>-56925.98</v>
      </c>
      <c r="G162">
        <v>157364350</v>
      </c>
      <c r="H162" t="str">
        <f>IF(AND(Fact_Financials_Master[[#This Row],[Year_Quarter]]&gt;="2020-Q2", Fact_Financials_Master[[#This Row],[Year_Quarter]]&lt;="2021-Q2"), "CARES_Period", "Normal_Period")</f>
        <v>Normal_Period</v>
      </c>
    </row>
    <row r="163" spans="1:8" x14ac:dyDescent="0.25">
      <c r="A163" t="s">
        <v>56</v>
      </c>
      <c r="B163" s="1" t="s">
        <v>65</v>
      </c>
      <c r="C163">
        <v>-254675</v>
      </c>
      <c r="D163">
        <v>71.259999999999991</v>
      </c>
      <c r="E163">
        <v>1736049</v>
      </c>
      <c r="F163">
        <v>-369175.38</v>
      </c>
      <c r="G163">
        <v>570974244</v>
      </c>
      <c r="H163" t="str">
        <f>IF(AND(Fact_Financials_Master[[#This Row],[Year_Quarter]]&gt;="2020-Q2", Fact_Financials_Master[[#This Row],[Year_Quarter]]&lt;="2021-Q2"), "CARES_Period", "Normal_Period")</f>
        <v>Normal_Period</v>
      </c>
    </row>
    <row r="164" spans="1:8" x14ac:dyDescent="0.25">
      <c r="A164" t="s">
        <v>12</v>
      </c>
      <c r="B164" s="1" t="s">
        <v>61</v>
      </c>
      <c r="C164">
        <v>23384</v>
      </c>
      <c r="D164">
        <v>92.826666666666668</v>
      </c>
      <c r="E164">
        <v>185072</v>
      </c>
      <c r="F164">
        <v>23610.76</v>
      </c>
      <c r="G164">
        <v>86159971</v>
      </c>
      <c r="H164" t="str">
        <f>IF(AND(Fact_Financials_Master[[#This Row],[Year_Quarter]]&gt;="2020-Q2", Fact_Financials_Master[[#This Row],[Year_Quarter]]&lt;="2021-Q2"), "CARES_Period", "Normal_Period")</f>
        <v>Normal_Period</v>
      </c>
    </row>
    <row r="165" spans="1:8" x14ac:dyDescent="0.25">
      <c r="A165" t="s">
        <v>27</v>
      </c>
      <c r="B165" s="1" t="s">
        <v>62</v>
      </c>
      <c r="C165">
        <v>-702544</v>
      </c>
      <c r="D165">
        <v>85.25333333333333</v>
      </c>
      <c r="E165">
        <v>9658947</v>
      </c>
      <c r="F165">
        <v>-772361</v>
      </c>
      <c r="G165">
        <v>2089326627</v>
      </c>
      <c r="H165" t="str">
        <f>IF(AND(Fact_Financials_Master[[#This Row],[Year_Quarter]]&gt;="2020-Q2", Fact_Financials_Master[[#This Row],[Year_Quarter]]&lt;="2021-Q2"), "CARES_Period", "Normal_Period")</f>
        <v>Normal_Period</v>
      </c>
    </row>
    <row r="166" spans="1:8" x14ac:dyDescent="0.25">
      <c r="A166" t="s">
        <v>12</v>
      </c>
      <c r="B166" s="1" t="s">
        <v>60</v>
      </c>
      <c r="C166">
        <v>2376</v>
      </c>
      <c r="D166">
        <v>85.706666666666663</v>
      </c>
      <c r="E166">
        <v>366149</v>
      </c>
      <c r="F166">
        <v>-3579.8599999999997</v>
      </c>
      <c r="G166">
        <v>105450695</v>
      </c>
      <c r="H166" t="str">
        <f>IF(AND(Fact_Financials_Master[[#This Row],[Year_Quarter]]&gt;="2020-Q2", Fact_Financials_Master[[#This Row],[Year_Quarter]]&lt;="2021-Q2"), "CARES_Period", "Normal_Period")</f>
        <v>Normal_Period</v>
      </c>
    </row>
    <row r="167" spans="1:8" x14ac:dyDescent="0.25">
      <c r="A167" t="s">
        <v>59</v>
      </c>
      <c r="B167" s="1" t="s">
        <v>67</v>
      </c>
      <c r="C167">
        <v>-270664</v>
      </c>
      <c r="D167">
        <v>81.596666666666664</v>
      </c>
      <c r="E167">
        <v>1391310</v>
      </c>
      <c r="F167">
        <v>-305729.46000000002</v>
      </c>
      <c r="G167">
        <v>494255264</v>
      </c>
      <c r="H167" t="str">
        <f>IF(AND(Fact_Financials_Master[[#This Row],[Year_Quarter]]&gt;="2020-Q2", Fact_Financials_Master[[#This Row],[Year_Quarter]]&lt;="2021-Q2"), "CARES_Period", "Normal_Period")</f>
        <v>Normal_Period</v>
      </c>
    </row>
    <row r="168" spans="1:8" x14ac:dyDescent="0.25">
      <c r="A168" t="s">
        <v>12</v>
      </c>
      <c r="B168" s="1" t="s">
        <v>67</v>
      </c>
      <c r="C168">
        <v>6377</v>
      </c>
      <c r="D168">
        <v>84.686666666666667</v>
      </c>
      <c r="E168">
        <v>232662</v>
      </c>
      <c r="F168">
        <v>26844.18</v>
      </c>
      <c r="G168">
        <v>70366749</v>
      </c>
      <c r="H168" t="str">
        <f>IF(AND(Fact_Financials_Master[[#This Row],[Year_Quarter]]&gt;="2020-Q2", Fact_Financials_Master[[#This Row],[Year_Quarter]]&lt;="2021-Q2"), "CARES_Period", "Normal_Period")</f>
        <v>Normal_Period</v>
      </c>
    </row>
    <row r="169" spans="1:8" x14ac:dyDescent="0.25">
      <c r="A169" t="s">
        <v>52</v>
      </c>
      <c r="B169" s="1" t="s">
        <v>67</v>
      </c>
      <c r="C169">
        <v>-112321</v>
      </c>
      <c r="D169">
        <v>74.376666666666665</v>
      </c>
      <c r="E169">
        <v>461279</v>
      </c>
      <c r="F169">
        <v>-280283.78999999998</v>
      </c>
      <c r="G169">
        <v>142930488</v>
      </c>
      <c r="H169" t="str">
        <f>IF(AND(Fact_Financials_Master[[#This Row],[Year_Quarter]]&gt;="2020-Q2", Fact_Financials_Master[[#This Row],[Year_Quarter]]&lt;="2021-Q2"), "CARES_Period", "Normal_Period")</f>
        <v>CARES_Period</v>
      </c>
    </row>
    <row r="170" spans="1:8" x14ac:dyDescent="0.25">
      <c r="A170" t="s">
        <v>12</v>
      </c>
      <c r="B170" s="1" t="s">
        <v>63</v>
      </c>
      <c r="C170">
        <v>-159711</v>
      </c>
      <c r="D170">
        <v>82.539999999999992</v>
      </c>
      <c r="E170">
        <v>4675619</v>
      </c>
      <c r="F170">
        <v>9616.6500000000087</v>
      </c>
      <c r="G170">
        <v>1258902773</v>
      </c>
      <c r="H170" t="str">
        <f>IF(AND(Fact_Financials_Master[[#This Row],[Year_Quarter]]&gt;="2020-Q2", Fact_Financials_Master[[#This Row],[Year_Quarter]]&lt;="2021-Q2"), "CARES_Period", "Normal_Period")</f>
        <v>Normal_Period</v>
      </c>
    </row>
    <row r="171" spans="1:8" x14ac:dyDescent="0.25">
      <c r="A171" t="s">
        <v>15</v>
      </c>
      <c r="B171" s="1" t="s">
        <v>63</v>
      </c>
      <c r="C171">
        <v>-254571</v>
      </c>
      <c r="D171">
        <v>86.446666666666673</v>
      </c>
      <c r="E171">
        <v>5052795</v>
      </c>
      <c r="F171">
        <v>-134214.82</v>
      </c>
      <c r="G171">
        <v>1378675451</v>
      </c>
      <c r="H171" t="str">
        <f>IF(AND(Fact_Financials_Master[[#This Row],[Year_Quarter]]&gt;="2020-Q2", Fact_Financials_Master[[#This Row],[Year_Quarter]]&lt;="2021-Q2"), "CARES_Period", "Normal_Period")</f>
        <v>Normal_Period</v>
      </c>
    </row>
    <row r="172" spans="1:8" x14ac:dyDescent="0.25">
      <c r="A172" t="s">
        <v>12</v>
      </c>
      <c r="B172" s="1" t="s">
        <v>64</v>
      </c>
      <c r="C172">
        <v>4854</v>
      </c>
      <c r="D172">
        <v>78.176666666666662</v>
      </c>
      <c r="E172">
        <v>3102893</v>
      </c>
      <c r="F172">
        <v>114098</v>
      </c>
      <c r="G172">
        <v>987209990</v>
      </c>
      <c r="H172" t="str">
        <f>IF(AND(Fact_Financials_Master[[#This Row],[Year_Quarter]]&gt;="2020-Q2", Fact_Financials_Master[[#This Row],[Year_Quarter]]&lt;="2021-Q2"), "CARES_Period", "Normal_Period")</f>
        <v>Normal_Period</v>
      </c>
    </row>
    <row r="173" spans="1:8" x14ac:dyDescent="0.25">
      <c r="A173" t="s">
        <v>56</v>
      </c>
      <c r="B173" s="1" t="s">
        <v>66</v>
      </c>
      <c r="C173">
        <v>-89902</v>
      </c>
      <c r="D173">
        <v>76.039999999999992</v>
      </c>
      <c r="E173">
        <v>1680082</v>
      </c>
      <c r="F173">
        <v>-273161</v>
      </c>
      <c r="G173">
        <v>436216443</v>
      </c>
      <c r="H173" t="str">
        <f>IF(AND(Fact_Financials_Master[[#This Row],[Year_Quarter]]&gt;="2020-Q2", Fact_Financials_Master[[#This Row],[Year_Quarter]]&lt;="2021-Q2"), "CARES_Period", "Normal_Period")</f>
        <v>Normal_Period</v>
      </c>
    </row>
    <row r="174" spans="1:8" x14ac:dyDescent="0.25">
      <c r="A174" t="s">
        <v>50</v>
      </c>
      <c r="B174" s="1" t="s">
        <v>67</v>
      </c>
      <c r="C174">
        <v>-99140</v>
      </c>
      <c r="D174">
        <v>69.48</v>
      </c>
      <c r="E174">
        <v>401922</v>
      </c>
      <c r="F174">
        <v>-250132.41999999998</v>
      </c>
      <c r="G174">
        <v>94284578</v>
      </c>
      <c r="H174" t="str">
        <f>IF(AND(Fact_Financials_Master[[#This Row],[Year_Quarter]]&gt;="2020-Q2", Fact_Financials_Master[[#This Row],[Year_Quarter]]&lt;="2021-Q2"), "CARES_Period", "Normal_Period")</f>
        <v>CARES_Period</v>
      </c>
    </row>
    <row r="175" spans="1:8" x14ac:dyDescent="0.25">
      <c r="A175" t="s">
        <v>13</v>
      </c>
      <c r="B175" s="1" t="s">
        <v>66</v>
      </c>
      <c r="C175">
        <v>41679</v>
      </c>
      <c r="D175">
        <v>84.73</v>
      </c>
      <c r="E175">
        <v>1108279</v>
      </c>
      <c r="F175">
        <v>132319</v>
      </c>
      <c r="G175">
        <v>321141368</v>
      </c>
      <c r="H175" t="str">
        <f>IF(AND(Fact_Financials_Master[[#This Row],[Year_Quarter]]&gt;="2020-Q2", Fact_Financials_Master[[#This Row],[Year_Quarter]]&lt;="2021-Q2"), "CARES_Period", "Normal_Period")</f>
        <v>Normal_Period</v>
      </c>
    </row>
    <row r="176" spans="1:8" x14ac:dyDescent="0.25">
      <c r="A176" t="s">
        <v>48</v>
      </c>
      <c r="B176" s="1" t="s">
        <v>66</v>
      </c>
      <c r="C176">
        <v>-210182</v>
      </c>
      <c r="D176">
        <v>68.803333333333342</v>
      </c>
      <c r="E176">
        <v>1634978</v>
      </c>
      <c r="F176">
        <v>-256903</v>
      </c>
      <c r="G176">
        <v>316901620</v>
      </c>
      <c r="H176" t="str">
        <f>IF(AND(Fact_Financials_Master[[#This Row],[Year_Quarter]]&gt;="2020-Q2", Fact_Financials_Master[[#This Row],[Year_Quarter]]&lt;="2021-Q2"), "CARES_Period", "Normal_Period")</f>
        <v>Normal_Period</v>
      </c>
    </row>
    <row r="177" spans="1:8" x14ac:dyDescent="0.25">
      <c r="A177" t="s">
        <v>13</v>
      </c>
      <c r="B177" s="1" t="s">
        <v>65</v>
      </c>
      <c r="C177">
        <v>25039</v>
      </c>
      <c r="D177">
        <v>82.016666666666666</v>
      </c>
      <c r="E177">
        <v>1152580</v>
      </c>
      <c r="F177">
        <v>86711.07</v>
      </c>
      <c r="G177">
        <v>439547116</v>
      </c>
      <c r="H177" t="str">
        <f>IF(AND(Fact_Financials_Master[[#This Row],[Year_Quarter]]&gt;="2020-Q2", Fact_Financials_Master[[#This Row],[Year_Quarter]]&lt;="2021-Q2"), "CARES_Period", "Normal_Period")</f>
        <v>Normal_Period</v>
      </c>
    </row>
    <row r="178" spans="1:8" x14ac:dyDescent="0.25">
      <c r="A178" t="s">
        <v>58</v>
      </c>
      <c r="B178" s="1" t="s">
        <v>4</v>
      </c>
      <c r="C178">
        <v>539309</v>
      </c>
      <c r="D178">
        <v>86.786666666666676</v>
      </c>
      <c r="E178">
        <v>13461344</v>
      </c>
      <c r="F178">
        <v>934963.19</v>
      </c>
      <c r="G178">
        <v>3038963346</v>
      </c>
      <c r="H178" t="str">
        <f>IF(AND(Fact_Financials_Master[[#This Row],[Year_Quarter]]&gt;="2020-Q2", Fact_Financials_Master[[#This Row],[Year_Quarter]]&lt;="2021-Q2"), "CARES_Period", "Normal_Period")</f>
        <v>Normal_Period</v>
      </c>
    </row>
    <row r="179" spans="1:8" x14ac:dyDescent="0.25">
      <c r="A179" t="s">
        <v>13</v>
      </c>
      <c r="B179" s="1" t="s">
        <v>62</v>
      </c>
      <c r="C179">
        <v>235953</v>
      </c>
      <c r="D179">
        <v>86.490000000000009</v>
      </c>
      <c r="E179">
        <v>9174016</v>
      </c>
      <c r="F179">
        <v>633968</v>
      </c>
      <c r="G179">
        <v>2573873381</v>
      </c>
      <c r="H179" t="str">
        <f>IF(AND(Fact_Financials_Master[[#This Row],[Year_Quarter]]&gt;="2020-Q2", Fact_Financials_Master[[#This Row],[Year_Quarter]]&lt;="2021-Q2"), "CARES_Period", "Normal_Period")</f>
        <v>Normal_Period</v>
      </c>
    </row>
    <row r="180" spans="1:8" x14ac:dyDescent="0.25">
      <c r="A180" t="s">
        <v>13</v>
      </c>
      <c r="B180" s="1" t="s">
        <v>68</v>
      </c>
      <c r="C180">
        <v>-23509</v>
      </c>
      <c r="D180">
        <v>88.31</v>
      </c>
      <c r="E180">
        <v>454390</v>
      </c>
      <c r="F180">
        <v>-36144.69</v>
      </c>
      <c r="G180">
        <v>187347919</v>
      </c>
      <c r="H180" t="str">
        <f>IF(AND(Fact_Financials_Master[[#This Row],[Year_Quarter]]&gt;="2020-Q2", Fact_Financials_Master[[#This Row],[Year_Quarter]]&lt;="2021-Q2"), "CARES_Period", "Normal_Period")</f>
        <v>Normal_Period</v>
      </c>
    </row>
    <row r="181" spans="1:8" x14ac:dyDescent="0.25">
      <c r="A181" t="s">
        <v>59</v>
      </c>
      <c r="B181" s="1" t="s">
        <v>4</v>
      </c>
      <c r="C181">
        <v>854459</v>
      </c>
      <c r="D181">
        <v>85.56</v>
      </c>
      <c r="E181">
        <v>13187523</v>
      </c>
      <c r="F181">
        <v>1379327.4100000001</v>
      </c>
      <c r="G181">
        <v>2723071403</v>
      </c>
      <c r="H181" t="str">
        <f>IF(AND(Fact_Financials_Master[[#This Row],[Year_Quarter]]&gt;="2020-Q2", Fact_Financials_Master[[#This Row],[Year_Quarter]]&lt;="2021-Q2"), "CARES_Period", "Normal_Period")</f>
        <v>Normal_Period</v>
      </c>
    </row>
    <row r="182" spans="1:8" x14ac:dyDescent="0.25">
      <c r="A182" t="s">
        <v>13</v>
      </c>
      <c r="B182" s="1" t="s">
        <v>61</v>
      </c>
      <c r="C182">
        <v>13940</v>
      </c>
      <c r="D182">
        <v>91.966666666666669</v>
      </c>
      <c r="E182">
        <v>190996</v>
      </c>
      <c r="F182">
        <v>14177.08</v>
      </c>
      <c r="G182">
        <v>93449872</v>
      </c>
      <c r="H182" t="str">
        <f>IF(AND(Fact_Financials_Master[[#This Row],[Year_Quarter]]&gt;="2020-Q2", Fact_Financials_Master[[#This Row],[Year_Quarter]]&lt;="2021-Q2"), "CARES_Period", "Normal_Period")</f>
        <v>Normal_Period</v>
      </c>
    </row>
    <row r="183" spans="1:8" x14ac:dyDescent="0.25">
      <c r="A183" t="s">
        <v>50</v>
      </c>
      <c r="B183" s="1" t="s">
        <v>60</v>
      </c>
      <c r="C183">
        <v>-95932</v>
      </c>
      <c r="D183">
        <v>25.596666666666668</v>
      </c>
      <c r="E183">
        <v>76089</v>
      </c>
      <c r="F183">
        <v>-249978.86</v>
      </c>
      <c r="G183">
        <v>14859507</v>
      </c>
      <c r="H183" t="str">
        <f>IF(AND(Fact_Financials_Master[[#This Row],[Year_Quarter]]&gt;="2020-Q2", Fact_Financials_Master[[#This Row],[Year_Quarter]]&lt;="2021-Q2"), "CARES_Period", "Normal_Period")</f>
        <v>CARES_Period</v>
      </c>
    </row>
    <row r="184" spans="1:8" x14ac:dyDescent="0.25">
      <c r="A184" t="s">
        <v>13</v>
      </c>
      <c r="B184" s="1" t="s">
        <v>60</v>
      </c>
      <c r="C184">
        <v>-46951</v>
      </c>
      <c r="D184">
        <v>86.806666666666658</v>
      </c>
      <c r="E184">
        <v>395065</v>
      </c>
      <c r="F184">
        <v>-69033.75</v>
      </c>
      <c r="G184">
        <v>130926919</v>
      </c>
      <c r="H184" t="str">
        <f>IF(AND(Fact_Financials_Master[[#This Row],[Year_Quarter]]&gt;="2020-Q2", Fact_Financials_Master[[#This Row],[Year_Quarter]]&lt;="2021-Q2"), "CARES_Period", "Normal_Period")</f>
        <v>Normal_Period</v>
      </c>
    </row>
    <row r="185" spans="1:8" x14ac:dyDescent="0.25">
      <c r="A185" t="s">
        <v>13</v>
      </c>
      <c r="B185" s="1" t="s">
        <v>67</v>
      </c>
      <c r="C185">
        <v>14099</v>
      </c>
      <c r="D185">
        <v>85.963333333333338</v>
      </c>
      <c r="E185">
        <v>275891</v>
      </c>
      <c r="F185">
        <v>34958.589999999997</v>
      </c>
      <c r="G185">
        <v>107322012</v>
      </c>
      <c r="H185" t="str">
        <f>IF(AND(Fact_Financials_Master[[#This Row],[Year_Quarter]]&gt;="2020-Q2", Fact_Financials_Master[[#This Row],[Year_Quarter]]&lt;="2021-Q2"), "CARES_Period", "Normal_Period")</f>
        <v>Normal_Period</v>
      </c>
    </row>
    <row r="186" spans="1:8" x14ac:dyDescent="0.25">
      <c r="A186" t="s">
        <v>13</v>
      </c>
      <c r="B186" s="1" t="s">
        <v>63</v>
      </c>
      <c r="C186">
        <v>281883</v>
      </c>
      <c r="D186">
        <v>87.993333333333339</v>
      </c>
      <c r="E186">
        <v>5570539</v>
      </c>
      <c r="F186">
        <v>440810.61</v>
      </c>
      <c r="G186">
        <v>1559594877</v>
      </c>
      <c r="H186" t="str">
        <f>IF(AND(Fact_Financials_Master[[#This Row],[Year_Quarter]]&gt;="2020-Q2", Fact_Financials_Master[[#This Row],[Year_Quarter]]&lt;="2021-Q2"), "CARES_Period", "Normal_Period")</f>
        <v>Normal_Period</v>
      </c>
    </row>
    <row r="187" spans="1:8" x14ac:dyDescent="0.25">
      <c r="A187" t="s">
        <v>13</v>
      </c>
      <c r="B187" s="1" t="s">
        <v>64</v>
      </c>
      <c r="C187">
        <v>187604</v>
      </c>
      <c r="D187">
        <v>81.83</v>
      </c>
      <c r="E187">
        <v>3595869</v>
      </c>
      <c r="F187">
        <v>195176</v>
      </c>
      <c r="G187">
        <v>1258326184</v>
      </c>
      <c r="H187" t="str">
        <f>IF(AND(Fact_Financials_Master[[#This Row],[Year_Quarter]]&gt;="2020-Q2", Fact_Financials_Master[[#This Row],[Year_Quarter]]&lt;="2021-Q2"), "CARES_Period", "Normal_Period")</f>
        <v>Normal_Period</v>
      </c>
    </row>
    <row r="188" spans="1:8" x14ac:dyDescent="0.25">
      <c r="A188" t="s">
        <v>49</v>
      </c>
      <c r="B188" s="1" t="s">
        <v>60</v>
      </c>
      <c r="C188">
        <v>-80870</v>
      </c>
      <c r="D188">
        <v>21.69</v>
      </c>
      <c r="E188">
        <v>59502</v>
      </c>
      <c r="F188">
        <v>-222458.53999999998</v>
      </c>
      <c r="G188">
        <v>6747233</v>
      </c>
      <c r="H188" t="str">
        <f>IF(AND(Fact_Financials_Master[[#This Row],[Year_Quarter]]&gt;="2020-Q2", Fact_Financials_Master[[#This Row],[Year_Quarter]]&lt;="2021-Q2"), "CARES_Period", "Normal_Period")</f>
        <v>CARES_Period</v>
      </c>
    </row>
    <row r="189" spans="1:8" x14ac:dyDescent="0.25">
      <c r="A189" t="s">
        <v>14</v>
      </c>
      <c r="B189" s="1" t="s">
        <v>66</v>
      </c>
      <c r="C189">
        <v>75284</v>
      </c>
      <c r="D189">
        <v>86.846666666666664</v>
      </c>
      <c r="E189">
        <v>1196092</v>
      </c>
      <c r="F189">
        <v>219916</v>
      </c>
      <c r="G189">
        <v>311519634</v>
      </c>
      <c r="H189" t="str">
        <f>IF(AND(Fact_Financials_Master[[#This Row],[Year_Quarter]]&gt;="2020-Q2", Fact_Financials_Master[[#This Row],[Year_Quarter]]&lt;="2021-Q2"), "CARES_Period", "Normal_Period")</f>
        <v>Normal_Period</v>
      </c>
    </row>
    <row r="190" spans="1:8" x14ac:dyDescent="0.25">
      <c r="A190" t="s">
        <v>14</v>
      </c>
      <c r="B190" s="1" t="s">
        <v>65</v>
      </c>
      <c r="C190">
        <v>34298</v>
      </c>
      <c r="D190">
        <v>84.843333333333334</v>
      </c>
      <c r="E190">
        <v>1196484</v>
      </c>
      <c r="F190">
        <v>108361.37999999999</v>
      </c>
      <c r="G190">
        <v>453761732</v>
      </c>
      <c r="H190" t="str">
        <f>IF(AND(Fact_Financials_Master[[#This Row],[Year_Quarter]]&gt;="2020-Q2", Fact_Financials_Master[[#This Row],[Year_Quarter]]&lt;="2021-Q2"), "CARES_Period", "Normal_Period")</f>
        <v>Normal_Period</v>
      </c>
    </row>
    <row r="191" spans="1:8" x14ac:dyDescent="0.25">
      <c r="A191" t="s">
        <v>16</v>
      </c>
      <c r="B191" s="1" t="s">
        <v>63</v>
      </c>
      <c r="C191">
        <v>-431097</v>
      </c>
      <c r="D191">
        <v>82.08</v>
      </c>
      <c r="E191">
        <v>8603978</v>
      </c>
      <c r="F191">
        <v>-266536.36</v>
      </c>
      <c r="G191">
        <v>2514589850</v>
      </c>
      <c r="H191" t="str">
        <f>IF(AND(Fact_Financials_Master[[#This Row],[Year_Quarter]]&gt;="2020-Q2", Fact_Financials_Master[[#This Row],[Year_Quarter]]&lt;="2021-Q2"), "CARES_Period", "Normal_Period")</f>
        <v>Normal_Period</v>
      </c>
    </row>
    <row r="192" spans="1:8" x14ac:dyDescent="0.25">
      <c r="A192" t="s">
        <v>14</v>
      </c>
      <c r="B192" s="1" t="s">
        <v>62</v>
      </c>
      <c r="C192">
        <v>562182</v>
      </c>
      <c r="D192">
        <v>87.463333333333338</v>
      </c>
      <c r="E192">
        <v>9889548</v>
      </c>
      <c r="F192">
        <v>866109</v>
      </c>
      <c r="G192">
        <v>2601127091</v>
      </c>
      <c r="H192" t="str">
        <f>IF(AND(Fact_Financials_Master[[#This Row],[Year_Quarter]]&gt;="2020-Q2", Fact_Financials_Master[[#This Row],[Year_Quarter]]&lt;="2021-Q2"), "CARES_Period", "Normal_Period")</f>
        <v>Normal_Period</v>
      </c>
    </row>
    <row r="193" spans="1:8" x14ac:dyDescent="0.25">
      <c r="A193" t="s">
        <v>14</v>
      </c>
      <c r="B193" s="1" t="s">
        <v>68</v>
      </c>
      <c r="C193">
        <v>551</v>
      </c>
      <c r="D193">
        <v>90.75333333333333</v>
      </c>
      <c r="E193">
        <v>481967</v>
      </c>
      <c r="F193">
        <v>2431.3700000000003</v>
      </c>
      <c r="G193">
        <v>137756224</v>
      </c>
      <c r="H193" t="str">
        <f>IF(AND(Fact_Financials_Master[[#This Row],[Year_Quarter]]&gt;="2020-Q2", Fact_Financials_Master[[#This Row],[Year_Quarter]]&lt;="2021-Q2"), "CARES_Period", "Normal_Period")</f>
        <v>Normal_Period</v>
      </c>
    </row>
    <row r="194" spans="1:8" x14ac:dyDescent="0.25">
      <c r="A194" t="s">
        <v>14</v>
      </c>
      <c r="B194" s="1" t="s">
        <v>61</v>
      </c>
      <c r="C194">
        <v>10722</v>
      </c>
      <c r="D194">
        <v>91.88</v>
      </c>
      <c r="E194">
        <v>182623</v>
      </c>
      <c r="F194">
        <v>10944.59</v>
      </c>
      <c r="G194">
        <v>90049943</v>
      </c>
      <c r="H194" t="str">
        <f>IF(AND(Fact_Financials_Master[[#This Row],[Year_Quarter]]&gt;="2020-Q2", Fact_Financials_Master[[#This Row],[Year_Quarter]]&lt;="2021-Q2"), "CARES_Period", "Normal_Period")</f>
        <v>Normal_Period</v>
      </c>
    </row>
    <row r="195" spans="1:8" x14ac:dyDescent="0.25">
      <c r="A195" t="s">
        <v>52</v>
      </c>
      <c r="B195" s="1" t="s">
        <v>68</v>
      </c>
      <c r="C195">
        <v>-91053</v>
      </c>
      <c r="D195">
        <v>70.313333333333333</v>
      </c>
      <c r="E195">
        <v>271196</v>
      </c>
      <c r="F195">
        <v>-216406.79</v>
      </c>
      <c r="G195">
        <v>70746673</v>
      </c>
      <c r="H195" t="str">
        <f>IF(AND(Fact_Financials_Master[[#This Row],[Year_Quarter]]&gt;="2020-Q2", Fact_Financials_Master[[#This Row],[Year_Quarter]]&lt;="2021-Q2"), "CARES_Period", "Normal_Period")</f>
        <v>CARES_Period</v>
      </c>
    </row>
    <row r="196" spans="1:8" x14ac:dyDescent="0.25">
      <c r="A196" t="s">
        <v>14</v>
      </c>
      <c r="B196" s="1" t="s">
        <v>60</v>
      </c>
      <c r="C196">
        <v>28374</v>
      </c>
      <c r="D196">
        <v>86.346666666666664</v>
      </c>
      <c r="E196">
        <v>455894</v>
      </c>
      <c r="F196">
        <v>61726.65</v>
      </c>
      <c r="G196">
        <v>131788395</v>
      </c>
      <c r="H196" t="str">
        <f>IF(AND(Fact_Financials_Master[[#This Row],[Year_Quarter]]&gt;="2020-Q2", Fact_Financials_Master[[#This Row],[Year_Quarter]]&lt;="2021-Q2"), "CARES_Period", "Normal_Period")</f>
        <v>Normal_Period</v>
      </c>
    </row>
    <row r="197" spans="1:8" x14ac:dyDescent="0.25">
      <c r="A197" t="s">
        <v>14</v>
      </c>
      <c r="B197" s="1" t="s">
        <v>67</v>
      </c>
      <c r="C197">
        <v>22873</v>
      </c>
      <c r="D197">
        <v>87.4</v>
      </c>
      <c r="E197">
        <v>288714</v>
      </c>
      <c r="F197">
        <v>44556.160000000003</v>
      </c>
      <c r="G197">
        <v>104984443</v>
      </c>
      <c r="H197" t="str">
        <f>IF(AND(Fact_Financials_Master[[#This Row],[Year_Quarter]]&gt;="2020-Q2", Fact_Financials_Master[[#This Row],[Year_Quarter]]&lt;="2021-Q2"), "CARES_Period", "Normal_Period")</f>
        <v>Normal_Period</v>
      </c>
    </row>
    <row r="198" spans="1:8" x14ac:dyDescent="0.25">
      <c r="A198" t="s">
        <v>52</v>
      </c>
      <c r="B198" s="1" t="s">
        <v>60</v>
      </c>
      <c r="C198">
        <v>-59013</v>
      </c>
      <c r="D198">
        <v>44.523333333333333</v>
      </c>
      <c r="E198">
        <v>181505</v>
      </c>
      <c r="F198">
        <v>-218999.76</v>
      </c>
      <c r="G198">
        <v>47029701</v>
      </c>
      <c r="H198" t="str">
        <f>IF(AND(Fact_Financials_Master[[#This Row],[Year_Quarter]]&gt;="2020-Q2", Fact_Financials_Master[[#This Row],[Year_Quarter]]&lt;="2021-Q2"), "CARES_Period", "Normal_Period")</f>
        <v>CARES_Period</v>
      </c>
    </row>
    <row r="199" spans="1:8" x14ac:dyDescent="0.25">
      <c r="A199" t="s">
        <v>14</v>
      </c>
      <c r="B199" s="1" t="s">
        <v>63</v>
      </c>
      <c r="C199">
        <v>414480</v>
      </c>
      <c r="D199">
        <v>88.923333333333332</v>
      </c>
      <c r="E199">
        <v>5856265</v>
      </c>
      <c r="F199">
        <v>577761.57999999996</v>
      </c>
      <c r="G199">
        <v>1590410007</v>
      </c>
      <c r="H199" t="str">
        <f>IF(AND(Fact_Financials_Master[[#This Row],[Year_Quarter]]&gt;="2020-Q2", Fact_Financials_Master[[#This Row],[Year_Quarter]]&lt;="2021-Q2"), "CARES_Period", "Normal_Period")</f>
        <v>Normal_Period</v>
      </c>
    </row>
    <row r="200" spans="1:8" x14ac:dyDescent="0.25">
      <c r="A200" t="s">
        <v>14</v>
      </c>
      <c r="B200" s="1" t="s">
        <v>64</v>
      </c>
      <c r="C200">
        <v>-142708</v>
      </c>
      <c r="D200">
        <v>81.56</v>
      </c>
      <c r="E200">
        <v>3552684</v>
      </c>
      <c r="F200">
        <v>206813</v>
      </c>
      <c r="G200">
        <v>1241328339</v>
      </c>
      <c r="H200" t="str">
        <f>IF(AND(Fact_Financials_Master[[#This Row],[Year_Quarter]]&gt;="2020-Q2", Fact_Financials_Master[[#This Row],[Year_Quarter]]&lt;="2021-Q2"), "CARES_Period", "Normal_Period")</f>
        <v>Normal_Period</v>
      </c>
    </row>
    <row r="201" spans="1:8" x14ac:dyDescent="0.25">
      <c r="A201" t="s">
        <v>49</v>
      </c>
      <c r="B201" s="1" t="s">
        <v>61</v>
      </c>
      <c r="C201">
        <v>-115137</v>
      </c>
      <c r="D201">
        <v>41.7</v>
      </c>
      <c r="E201">
        <v>120468</v>
      </c>
      <c r="F201">
        <v>-182057.84</v>
      </c>
      <c r="G201">
        <v>26835532</v>
      </c>
      <c r="H201" t="str">
        <f>IF(AND(Fact_Financials_Master[[#This Row],[Year_Quarter]]&gt;="2020-Q2", Fact_Financials_Master[[#This Row],[Year_Quarter]]&lt;="2021-Q2"), "CARES_Period", "Normal_Period")</f>
        <v>CARES_Period</v>
      </c>
    </row>
    <row r="202" spans="1:8" x14ac:dyDescent="0.25">
      <c r="A202" t="s">
        <v>15</v>
      </c>
      <c r="B202" s="1" t="s">
        <v>66</v>
      </c>
      <c r="C202">
        <v>59634</v>
      </c>
      <c r="D202">
        <v>85.38</v>
      </c>
      <c r="E202">
        <v>1042422</v>
      </c>
      <c r="F202">
        <v>72377</v>
      </c>
      <c r="G202">
        <v>294273675</v>
      </c>
      <c r="H202" t="str">
        <f>IF(AND(Fact_Financials_Master[[#This Row],[Year_Quarter]]&gt;="2020-Q2", Fact_Financials_Master[[#This Row],[Year_Quarter]]&lt;="2021-Q2"), "CARES_Period", "Normal_Period")</f>
        <v>Normal_Period</v>
      </c>
    </row>
    <row r="203" spans="1:8" x14ac:dyDescent="0.25">
      <c r="A203" t="s">
        <v>56</v>
      </c>
      <c r="B203" s="1" t="s">
        <v>67</v>
      </c>
      <c r="C203">
        <v>-194703</v>
      </c>
      <c r="D203">
        <v>79.296666666666667</v>
      </c>
      <c r="E203">
        <v>967315</v>
      </c>
      <c r="F203">
        <v>-211468.04</v>
      </c>
      <c r="G203">
        <v>368584859</v>
      </c>
      <c r="H203" t="str">
        <f>IF(AND(Fact_Financials_Master[[#This Row],[Year_Quarter]]&gt;="2020-Q2", Fact_Financials_Master[[#This Row],[Year_Quarter]]&lt;="2021-Q2"), "CARES_Period", "Normal_Period")</f>
        <v>Normal_Period</v>
      </c>
    </row>
    <row r="204" spans="1:8" x14ac:dyDescent="0.25">
      <c r="A204" t="s">
        <v>15</v>
      </c>
      <c r="B204" s="1" t="s">
        <v>65</v>
      </c>
      <c r="C204">
        <v>23549</v>
      </c>
      <c r="D204">
        <v>83.076666666666668</v>
      </c>
      <c r="E204">
        <v>1146981</v>
      </c>
      <c r="F204">
        <v>83936.209999999992</v>
      </c>
      <c r="G204">
        <v>417506614</v>
      </c>
      <c r="H204" t="str">
        <f>IF(AND(Fact_Financials_Master[[#This Row],[Year_Quarter]]&gt;="2020-Q2", Fact_Financials_Master[[#This Row],[Year_Quarter]]&lt;="2021-Q2"), "CARES_Period", "Normal_Period")</f>
        <v>Normal_Period</v>
      </c>
    </row>
    <row r="205" spans="1:8" x14ac:dyDescent="0.25">
      <c r="A205" t="s">
        <v>15</v>
      </c>
      <c r="B205" s="1" t="s">
        <v>62</v>
      </c>
      <c r="C205">
        <v>475404</v>
      </c>
      <c r="D205">
        <v>84.373333333333335</v>
      </c>
      <c r="E205">
        <v>8453169</v>
      </c>
      <c r="F205">
        <v>819171</v>
      </c>
      <c r="G205">
        <v>2121631381</v>
      </c>
      <c r="H205" t="str">
        <f>IF(AND(Fact_Financials_Master[[#This Row],[Year_Quarter]]&gt;="2020-Q2", Fact_Financials_Master[[#This Row],[Year_Quarter]]&lt;="2021-Q2"), "CARES_Period", "Normal_Period")</f>
        <v>Normal_Period</v>
      </c>
    </row>
    <row r="206" spans="1:8" x14ac:dyDescent="0.25">
      <c r="A206" t="s">
        <v>51</v>
      </c>
      <c r="B206" s="1" t="s">
        <v>60</v>
      </c>
      <c r="C206">
        <v>-157285</v>
      </c>
      <c r="D206">
        <v>40.606666666666669</v>
      </c>
      <c r="E206">
        <v>148442</v>
      </c>
      <c r="F206">
        <v>-202884.08</v>
      </c>
      <c r="G206">
        <v>25910706</v>
      </c>
      <c r="H206" t="str">
        <f>IF(AND(Fact_Financials_Master[[#This Row],[Year_Quarter]]&gt;="2020-Q2", Fact_Financials_Master[[#This Row],[Year_Quarter]]&lt;="2021-Q2"), "CARES_Period", "Normal_Period")</f>
        <v>CARES_Period</v>
      </c>
    </row>
    <row r="207" spans="1:8" x14ac:dyDescent="0.25">
      <c r="A207" t="s">
        <v>15</v>
      </c>
      <c r="B207" s="1" t="s">
        <v>68</v>
      </c>
      <c r="C207">
        <v>-12628</v>
      </c>
      <c r="D207">
        <v>88.429999999999993</v>
      </c>
      <c r="E207">
        <v>338502</v>
      </c>
      <c r="F207">
        <v>-20835.920000000002</v>
      </c>
      <c r="G207">
        <v>124192459</v>
      </c>
      <c r="H207" t="str">
        <f>IF(AND(Fact_Financials_Master[[#This Row],[Year_Quarter]]&gt;="2020-Q2", Fact_Financials_Master[[#This Row],[Year_Quarter]]&lt;="2021-Q2"), "CARES_Period", "Normal_Period")</f>
        <v>Normal_Period</v>
      </c>
    </row>
    <row r="208" spans="1:8" x14ac:dyDescent="0.25">
      <c r="A208" t="s">
        <v>15</v>
      </c>
      <c r="B208" s="1" t="s">
        <v>61</v>
      </c>
      <c r="C208">
        <v>15631</v>
      </c>
      <c r="D208">
        <v>89.74666666666667</v>
      </c>
      <c r="E208">
        <v>186346</v>
      </c>
      <c r="F208">
        <v>15671.78</v>
      </c>
      <c r="G208">
        <v>86715390</v>
      </c>
      <c r="H208" t="str">
        <f>IF(AND(Fact_Financials_Master[[#This Row],[Year_Quarter]]&gt;="2020-Q2", Fact_Financials_Master[[#This Row],[Year_Quarter]]&lt;="2021-Q2"), "CARES_Period", "Normal_Period")</f>
        <v>Normal_Period</v>
      </c>
    </row>
    <row r="209" spans="1:8" x14ac:dyDescent="0.25">
      <c r="A209" t="s">
        <v>51</v>
      </c>
      <c r="B209" s="1" t="s">
        <v>68</v>
      </c>
      <c r="C209">
        <v>-126850</v>
      </c>
      <c r="D209">
        <v>65.566666666666663</v>
      </c>
      <c r="E209">
        <v>266729</v>
      </c>
      <c r="F209">
        <v>-183547.14</v>
      </c>
      <c r="G209">
        <v>46851965</v>
      </c>
      <c r="H209" t="str">
        <f>IF(AND(Fact_Financials_Master[[#This Row],[Year_Quarter]]&gt;="2020-Q2", Fact_Financials_Master[[#This Row],[Year_Quarter]]&lt;="2021-Q2"), "CARES_Period", "Normal_Period")</f>
        <v>CARES_Period</v>
      </c>
    </row>
    <row r="210" spans="1:8" x14ac:dyDescent="0.25">
      <c r="A210" t="s">
        <v>15</v>
      </c>
      <c r="B210" s="1" t="s">
        <v>60</v>
      </c>
      <c r="C210">
        <v>24168</v>
      </c>
      <c r="D210">
        <v>86.376666666666665</v>
      </c>
      <c r="E210">
        <v>434013</v>
      </c>
      <c r="F210">
        <v>35705.93</v>
      </c>
      <c r="G210">
        <v>128504434</v>
      </c>
      <c r="H210" t="str">
        <f>IF(AND(Fact_Financials_Master[[#This Row],[Year_Quarter]]&gt;="2020-Q2", Fact_Financials_Master[[#This Row],[Year_Quarter]]&lt;="2021-Q2"), "CARES_Period", "Normal_Period")</f>
        <v>Normal_Period</v>
      </c>
    </row>
    <row r="211" spans="1:8" x14ac:dyDescent="0.25">
      <c r="A211" t="s">
        <v>15</v>
      </c>
      <c r="B211" s="1" t="s">
        <v>67</v>
      </c>
      <c r="C211">
        <v>23991</v>
      </c>
      <c r="D211">
        <v>85.88000000000001</v>
      </c>
      <c r="E211">
        <v>273920</v>
      </c>
      <c r="F211">
        <v>38023.81</v>
      </c>
      <c r="G211">
        <v>94949228</v>
      </c>
      <c r="H211" t="str">
        <f>IF(AND(Fact_Financials_Master[[#This Row],[Year_Quarter]]&gt;="2020-Q2", Fact_Financials_Master[[#This Row],[Year_Quarter]]&lt;="2021-Q2"), "CARES_Period", "Normal_Period")</f>
        <v>Normal_Period</v>
      </c>
    </row>
    <row r="212" spans="1:8" x14ac:dyDescent="0.25">
      <c r="A212" t="s">
        <v>20</v>
      </c>
      <c r="B212" s="1" t="s">
        <v>63</v>
      </c>
      <c r="C212">
        <v>-361526</v>
      </c>
      <c r="D212">
        <v>84.186666666666667</v>
      </c>
      <c r="E212">
        <v>8723110</v>
      </c>
      <c r="F212">
        <v>-259884</v>
      </c>
      <c r="G212">
        <v>2381722866</v>
      </c>
      <c r="H212" t="str">
        <f>IF(AND(Fact_Financials_Master[[#This Row],[Year_Quarter]]&gt;="2020-Q2", Fact_Financials_Master[[#This Row],[Year_Quarter]]&lt;="2021-Q2"), "CARES_Period", "Normal_Period")</f>
        <v>Normal_Period</v>
      </c>
    </row>
    <row r="213" spans="1:8" x14ac:dyDescent="0.25">
      <c r="A213" t="s">
        <v>16</v>
      </c>
      <c r="B213" s="1" t="s">
        <v>60</v>
      </c>
      <c r="C213">
        <v>10538</v>
      </c>
      <c r="D213">
        <v>86.373333333333335</v>
      </c>
      <c r="E213">
        <v>435555</v>
      </c>
      <c r="F213">
        <v>14172.33</v>
      </c>
      <c r="G213">
        <v>136185331</v>
      </c>
      <c r="H213" t="str">
        <f>IF(AND(Fact_Financials_Master[[#This Row],[Year_Quarter]]&gt;="2020-Q2", Fact_Financials_Master[[#This Row],[Year_Quarter]]&lt;="2021-Q2"), "CARES_Period", "Normal_Period")</f>
        <v>Normal_Period</v>
      </c>
    </row>
    <row r="214" spans="1:8" x14ac:dyDescent="0.25">
      <c r="A214" t="s">
        <v>15</v>
      </c>
      <c r="B214" s="1" t="s">
        <v>64</v>
      </c>
      <c r="C214">
        <v>150912</v>
      </c>
      <c r="D214">
        <v>81.03</v>
      </c>
      <c r="E214">
        <v>3403195</v>
      </c>
      <c r="F214">
        <v>135986</v>
      </c>
      <c r="G214">
        <v>1176306740</v>
      </c>
      <c r="H214" t="str">
        <f>IF(AND(Fact_Financials_Master[[#This Row],[Year_Quarter]]&gt;="2020-Q2", Fact_Financials_Master[[#This Row],[Year_Quarter]]&lt;="2021-Q2"), "CARES_Period", "Normal_Period")</f>
        <v>Normal_Period</v>
      </c>
    </row>
    <row r="215" spans="1:8" x14ac:dyDescent="0.25">
      <c r="A215" t="s">
        <v>50</v>
      </c>
      <c r="B215" s="1" t="s">
        <v>68</v>
      </c>
      <c r="C215">
        <v>-51604</v>
      </c>
      <c r="D215">
        <v>62.646666666666661</v>
      </c>
      <c r="E215">
        <v>245098</v>
      </c>
      <c r="F215">
        <v>-171881.19999999998</v>
      </c>
      <c r="G215">
        <v>42076672</v>
      </c>
      <c r="H215" t="str">
        <f>IF(AND(Fact_Financials_Master[[#This Row],[Year_Quarter]]&gt;="2020-Q2", Fact_Financials_Master[[#This Row],[Year_Quarter]]&lt;="2021-Q2"), "CARES_Period", "Normal_Period")</f>
        <v>CARES_Period</v>
      </c>
    </row>
    <row r="216" spans="1:8" x14ac:dyDescent="0.25">
      <c r="A216" t="s">
        <v>17</v>
      </c>
      <c r="B216" s="1" t="s">
        <v>60</v>
      </c>
      <c r="C216">
        <v>7108</v>
      </c>
      <c r="D216">
        <v>87.65</v>
      </c>
      <c r="E216">
        <v>484618</v>
      </c>
      <c r="F216">
        <v>30501.370000000003</v>
      </c>
      <c r="G216">
        <v>146002457</v>
      </c>
      <c r="H216" t="str">
        <f>IF(AND(Fact_Financials_Master[[#This Row],[Year_Quarter]]&gt;="2020-Q2", Fact_Financials_Master[[#This Row],[Year_Quarter]]&lt;="2021-Q2"), "CARES_Period", "Normal_Period")</f>
        <v>Normal_Period</v>
      </c>
    </row>
    <row r="217" spans="1:8" x14ac:dyDescent="0.25">
      <c r="A217" t="s">
        <v>16</v>
      </c>
      <c r="B217" s="1" t="s">
        <v>66</v>
      </c>
      <c r="C217">
        <v>36770</v>
      </c>
      <c r="D217">
        <v>85.513333333333335</v>
      </c>
      <c r="E217">
        <v>1037359</v>
      </c>
      <c r="F217">
        <v>45005</v>
      </c>
      <c r="G217">
        <v>311702473</v>
      </c>
      <c r="H217" t="str">
        <f>IF(AND(Fact_Financials_Master[[#This Row],[Year_Quarter]]&gt;="2020-Q2", Fact_Financials_Master[[#This Row],[Year_Quarter]]&lt;="2021-Q2"), "CARES_Period", "Normal_Period")</f>
        <v>Normal_Period</v>
      </c>
    </row>
    <row r="218" spans="1:8" x14ac:dyDescent="0.25">
      <c r="A218" t="s">
        <v>53</v>
      </c>
      <c r="B218" s="1" t="s">
        <v>65</v>
      </c>
      <c r="C218">
        <v>63450</v>
      </c>
      <c r="D218">
        <v>82.173333333333332</v>
      </c>
      <c r="E218">
        <v>1499000</v>
      </c>
      <c r="F218">
        <v>-209350.62</v>
      </c>
      <c r="G218">
        <v>334889811</v>
      </c>
      <c r="H218" t="str">
        <f>IF(AND(Fact_Financials_Master[[#This Row],[Year_Quarter]]&gt;="2020-Q2", Fact_Financials_Master[[#This Row],[Year_Quarter]]&lt;="2021-Q2"), "CARES_Period", "Normal_Period")</f>
        <v>CARES_Period</v>
      </c>
    </row>
    <row r="219" spans="1:8" x14ac:dyDescent="0.25">
      <c r="A219" t="s">
        <v>16</v>
      </c>
      <c r="B219" s="1" t="s">
        <v>65</v>
      </c>
      <c r="C219">
        <v>29673</v>
      </c>
      <c r="D219">
        <v>83.26</v>
      </c>
      <c r="E219">
        <v>1203470</v>
      </c>
      <c r="F219">
        <v>81354.799999999988</v>
      </c>
      <c r="G219">
        <v>432920962</v>
      </c>
      <c r="H219" t="str">
        <f>IF(AND(Fact_Financials_Master[[#This Row],[Year_Quarter]]&gt;="2020-Q2", Fact_Financials_Master[[#This Row],[Year_Quarter]]&lt;="2021-Q2"), "CARES_Period", "Normal_Period")</f>
        <v>Normal_Period</v>
      </c>
    </row>
    <row r="220" spans="1:8" x14ac:dyDescent="0.25">
      <c r="A220" t="s">
        <v>18</v>
      </c>
      <c r="B220" s="1" t="s">
        <v>60</v>
      </c>
      <c r="C220">
        <v>49054</v>
      </c>
      <c r="D220">
        <v>85.88666666666667</v>
      </c>
      <c r="E220">
        <v>549365</v>
      </c>
      <c r="F220">
        <v>76430.92</v>
      </c>
      <c r="G220">
        <v>160785698</v>
      </c>
      <c r="H220" t="str">
        <f>IF(AND(Fact_Financials_Master[[#This Row],[Year_Quarter]]&gt;="2020-Q2", Fact_Financials_Master[[#This Row],[Year_Quarter]]&lt;="2021-Q2"), "CARES_Period", "Normal_Period")</f>
        <v>Normal_Period</v>
      </c>
    </row>
    <row r="221" spans="1:8" x14ac:dyDescent="0.25">
      <c r="A221" t="s">
        <v>16</v>
      </c>
      <c r="B221" s="1" t="s">
        <v>62</v>
      </c>
      <c r="C221">
        <v>145841</v>
      </c>
      <c r="D221">
        <v>83.006666666666661</v>
      </c>
      <c r="E221">
        <v>8493286</v>
      </c>
      <c r="F221">
        <v>381641</v>
      </c>
      <c r="G221">
        <v>2324388251</v>
      </c>
      <c r="H221" t="str">
        <f>IF(AND(Fact_Financials_Master[[#This Row],[Year_Quarter]]&gt;="2020-Q2", Fact_Financials_Master[[#This Row],[Year_Quarter]]&lt;="2021-Q2"), "CARES_Period", "Normal_Period")</f>
        <v>Normal_Period</v>
      </c>
    </row>
    <row r="222" spans="1:8" x14ac:dyDescent="0.25">
      <c r="A222" t="s">
        <v>19</v>
      </c>
      <c r="B222" s="1" t="s">
        <v>60</v>
      </c>
      <c r="C222">
        <v>-441</v>
      </c>
      <c r="D222">
        <v>86.59</v>
      </c>
      <c r="E222">
        <v>493032</v>
      </c>
      <c r="F222">
        <v>11579</v>
      </c>
      <c r="G222">
        <v>170550076</v>
      </c>
      <c r="H222" t="str">
        <f>IF(AND(Fact_Financials_Master[[#This Row],[Year_Quarter]]&gt;="2020-Q2", Fact_Financials_Master[[#This Row],[Year_Quarter]]&lt;="2021-Q2"), "CARES_Period", "Normal_Period")</f>
        <v>Normal_Period</v>
      </c>
    </row>
    <row r="223" spans="1:8" x14ac:dyDescent="0.25">
      <c r="A223" t="s">
        <v>16</v>
      </c>
      <c r="B223" s="1" t="s">
        <v>68</v>
      </c>
      <c r="C223">
        <v>-13461</v>
      </c>
      <c r="D223">
        <v>84.876666666666665</v>
      </c>
      <c r="E223">
        <v>342332</v>
      </c>
      <c r="F223">
        <v>-20041.419999999998</v>
      </c>
      <c r="G223">
        <v>128257485</v>
      </c>
      <c r="H223" t="str">
        <f>IF(AND(Fact_Financials_Master[[#This Row],[Year_Quarter]]&gt;="2020-Q2", Fact_Financials_Master[[#This Row],[Year_Quarter]]&lt;="2021-Q2"), "CARES_Period", "Normal_Period")</f>
        <v>Normal_Period</v>
      </c>
    </row>
    <row r="224" spans="1:8" x14ac:dyDescent="0.25">
      <c r="A224" t="s">
        <v>20</v>
      </c>
      <c r="B224" s="1" t="s">
        <v>60</v>
      </c>
      <c r="C224">
        <v>-14349</v>
      </c>
      <c r="D224">
        <v>86.883333333333326</v>
      </c>
      <c r="E224">
        <v>490248</v>
      </c>
      <c r="F224">
        <v>-12382.46</v>
      </c>
      <c r="G224">
        <v>169833770</v>
      </c>
      <c r="H224" t="str">
        <f>IF(AND(Fact_Financials_Master[[#This Row],[Year_Quarter]]&gt;="2020-Q2", Fact_Financials_Master[[#This Row],[Year_Quarter]]&lt;="2021-Q2"), "CARES_Period", "Normal_Period")</f>
        <v>Normal_Period</v>
      </c>
    </row>
    <row r="225" spans="1:8" x14ac:dyDescent="0.25">
      <c r="A225" t="s">
        <v>16</v>
      </c>
      <c r="B225" s="1" t="s">
        <v>61</v>
      </c>
      <c r="C225">
        <v>29168</v>
      </c>
      <c r="D225">
        <v>90.876666666666665</v>
      </c>
      <c r="E225">
        <v>227560</v>
      </c>
      <c r="F225">
        <v>29288.31</v>
      </c>
      <c r="G225">
        <v>108314141</v>
      </c>
      <c r="H225" t="str">
        <f>IF(AND(Fact_Financials_Master[[#This Row],[Year_Quarter]]&gt;="2020-Q2", Fact_Financials_Master[[#This Row],[Year_Quarter]]&lt;="2021-Q2"), "CARES_Period", "Normal_Period")</f>
        <v>Normal_Period</v>
      </c>
    </row>
    <row r="226" spans="1:8" x14ac:dyDescent="0.25">
      <c r="A226" t="s">
        <v>21</v>
      </c>
      <c r="B226" s="1" t="s">
        <v>60</v>
      </c>
      <c r="C226">
        <v>14531</v>
      </c>
      <c r="D226">
        <v>88.803333333333327</v>
      </c>
      <c r="E226">
        <v>533994</v>
      </c>
      <c r="F226">
        <v>39584.990000000005</v>
      </c>
      <c r="G226">
        <v>164522215</v>
      </c>
      <c r="H226" t="str">
        <f>IF(AND(Fact_Financials_Master[[#This Row],[Year_Quarter]]&gt;="2020-Q2", Fact_Financials_Master[[#This Row],[Year_Quarter]]&lt;="2021-Q2"), "CARES_Period", "Normal_Period")</f>
        <v>Normal_Period</v>
      </c>
    </row>
    <row r="227" spans="1:8" x14ac:dyDescent="0.25">
      <c r="A227" t="s">
        <v>17</v>
      </c>
      <c r="B227" s="1" t="s">
        <v>62</v>
      </c>
      <c r="C227">
        <v>-150721</v>
      </c>
      <c r="D227">
        <v>87.733333333333334</v>
      </c>
      <c r="E227">
        <v>9793003</v>
      </c>
      <c r="F227">
        <v>337484</v>
      </c>
      <c r="G227">
        <v>2690286399</v>
      </c>
      <c r="H227" t="str">
        <f>IF(AND(Fact_Financials_Master[[#This Row],[Year_Quarter]]&gt;="2020-Q2", Fact_Financials_Master[[#This Row],[Year_Quarter]]&lt;="2021-Q2"), "CARES_Period", "Normal_Period")</f>
        <v>Normal_Period</v>
      </c>
    </row>
    <row r="228" spans="1:8" x14ac:dyDescent="0.25">
      <c r="A228" t="s">
        <v>16</v>
      </c>
      <c r="B228" s="1" t="s">
        <v>67</v>
      </c>
      <c r="C228">
        <v>20004</v>
      </c>
      <c r="D228">
        <v>85.693333333333328</v>
      </c>
      <c r="E228">
        <v>301495</v>
      </c>
      <c r="F228">
        <v>37247.870000000003</v>
      </c>
      <c r="G228">
        <v>108724689</v>
      </c>
      <c r="H228" t="str">
        <f>IF(AND(Fact_Financials_Master[[#This Row],[Year_Quarter]]&gt;="2020-Q2", Fact_Financials_Master[[#This Row],[Year_Quarter]]&lt;="2021-Q2"), "CARES_Period", "Normal_Period")</f>
        <v>Normal_Period</v>
      </c>
    </row>
    <row r="229" spans="1:8" x14ac:dyDescent="0.25">
      <c r="A229" t="s">
        <v>22</v>
      </c>
      <c r="B229" s="1" t="s">
        <v>60</v>
      </c>
      <c r="C229">
        <v>42778</v>
      </c>
      <c r="D229">
        <v>87.793333333333337</v>
      </c>
      <c r="E229">
        <v>599361</v>
      </c>
      <c r="F229">
        <v>75667.66</v>
      </c>
      <c r="G229">
        <v>176837020</v>
      </c>
      <c r="H229" t="str">
        <f>IF(AND(Fact_Financials_Master[[#This Row],[Year_Quarter]]&gt;="2020-Q2", Fact_Financials_Master[[#This Row],[Year_Quarter]]&lt;="2021-Q2"), "CARES_Period", "Normal_Period")</f>
        <v>Normal_Period</v>
      </c>
    </row>
    <row r="230" spans="1:8" x14ac:dyDescent="0.25">
      <c r="A230" t="s">
        <v>23</v>
      </c>
      <c r="B230" s="1" t="s">
        <v>60</v>
      </c>
      <c r="C230">
        <v>19398</v>
      </c>
      <c r="D230">
        <v>85.173333333333332</v>
      </c>
      <c r="E230">
        <v>531951</v>
      </c>
      <c r="F230">
        <v>34335.110000000008</v>
      </c>
      <c r="G230">
        <v>169789163</v>
      </c>
      <c r="H230" t="str">
        <f>IF(AND(Fact_Financials_Master[[#This Row],[Year_Quarter]]&gt;="2020-Q2", Fact_Financials_Master[[#This Row],[Year_Quarter]]&lt;="2021-Q2"), "CARES_Period", "Normal_Period")</f>
        <v>Normal_Period</v>
      </c>
    </row>
    <row r="231" spans="1:8" x14ac:dyDescent="0.25">
      <c r="A231" t="s">
        <v>16</v>
      </c>
      <c r="B231" s="1" t="s">
        <v>64</v>
      </c>
      <c r="C231">
        <v>108599</v>
      </c>
      <c r="D231">
        <v>77.896666666666661</v>
      </c>
      <c r="E231">
        <v>3313519</v>
      </c>
      <c r="F231">
        <v>28190</v>
      </c>
      <c r="G231">
        <v>1181483145</v>
      </c>
      <c r="H231" t="str">
        <f>IF(AND(Fact_Financials_Master[[#This Row],[Year_Quarter]]&gt;="2020-Q2", Fact_Financials_Master[[#This Row],[Year_Quarter]]&lt;="2021-Q2"), "CARES_Period", "Normal_Period")</f>
        <v>Normal_Period</v>
      </c>
    </row>
    <row r="232" spans="1:8" x14ac:dyDescent="0.25">
      <c r="A232" t="s">
        <v>24</v>
      </c>
      <c r="B232" s="1" t="s">
        <v>60</v>
      </c>
      <c r="C232">
        <v>-2966</v>
      </c>
      <c r="D232">
        <v>85.483333333333334</v>
      </c>
      <c r="E232">
        <v>524328</v>
      </c>
      <c r="F232">
        <v>11636.749999999996</v>
      </c>
      <c r="G232">
        <v>166333312</v>
      </c>
      <c r="H232" t="str">
        <f>IF(AND(Fact_Financials_Master[[#This Row],[Year_Quarter]]&gt;="2020-Q2", Fact_Financials_Master[[#This Row],[Year_Quarter]]&lt;="2021-Q2"), "CARES_Period", "Normal_Period")</f>
        <v>Normal_Period</v>
      </c>
    </row>
    <row r="233" spans="1:8" x14ac:dyDescent="0.25">
      <c r="A233" t="s">
        <v>17</v>
      </c>
      <c r="B233" s="1" t="s">
        <v>66</v>
      </c>
      <c r="C233">
        <v>66035</v>
      </c>
      <c r="D233">
        <v>87.313333333333333</v>
      </c>
      <c r="E233">
        <v>1211528</v>
      </c>
      <c r="F233">
        <v>191012</v>
      </c>
      <c r="G233">
        <v>323310388</v>
      </c>
      <c r="H233" t="str">
        <f>IF(AND(Fact_Financials_Master[[#This Row],[Year_Quarter]]&gt;="2020-Q2", Fact_Financials_Master[[#This Row],[Year_Quarter]]&lt;="2021-Q2"), "CARES_Period", "Normal_Period")</f>
        <v>Normal_Period</v>
      </c>
    </row>
    <row r="234" spans="1:8" x14ac:dyDescent="0.25">
      <c r="A234" t="s">
        <v>48</v>
      </c>
      <c r="B234" s="1" t="s">
        <v>65</v>
      </c>
      <c r="C234">
        <v>-267924</v>
      </c>
      <c r="D234">
        <v>67.55</v>
      </c>
      <c r="E234">
        <v>1588455</v>
      </c>
      <c r="F234">
        <v>-130877.81999999999</v>
      </c>
      <c r="G234">
        <v>365233830</v>
      </c>
      <c r="H234" t="str">
        <f>IF(AND(Fact_Financials_Master[[#This Row],[Year_Quarter]]&gt;="2020-Q2", Fact_Financials_Master[[#This Row],[Year_Quarter]]&lt;="2021-Q2"), "CARES_Period", "Normal_Period")</f>
        <v>Normal_Period</v>
      </c>
    </row>
    <row r="235" spans="1:8" x14ac:dyDescent="0.25">
      <c r="A235" t="s">
        <v>17</v>
      </c>
      <c r="B235" s="1" t="s">
        <v>65</v>
      </c>
      <c r="C235">
        <v>52521</v>
      </c>
      <c r="D235">
        <v>85.62</v>
      </c>
      <c r="E235">
        <v>1277328</v>
      </c>
      <c r="F235">
        <v>119946.86</v>
      </c>
      <c r="G235">
        <v>450311437</v>
      </c>
      <c r="H235" t="str">
        <f>IF(AND(Fact_Financials_Master[[#This Row],[Year_Quarter]]&gt;="2020-Q2", Fact_Financials_Master[[#This Row],[Year_Quarter]]&lt;="2021-Q2"), "CARES_Period", "Normal_Period")</f>
        <v>Normal_Period</v>
      </c>
    </row>
    <row r="236" spans="1:8" x14ac:dyDescent="0.25">
      <c r="A236" t="s">
        <v>25</v>
      </c>
      <c r="B236" s="1" t="s">
        <v>60</v>
      </c>
      <c r="C236">
        <v>29761</v>
      </c>
      <c r="D236">
        <v>85.393333333333331</v>
      </c>
      <c r="E236">
        <v>574778</v>
      </c>
      <c r="F236">
        <v>54078.84</v>
      </c>
      <c r="G236">
        <v>169002345</v>
      </c>
      <c r="H236" t="str">
        <f>IF(AND(Fact_Financials_Master[[#This Row],[Year_Quarter]]&gt;="2020-Q2", Fact_Financials_Master[[#This Row],[Year_Quarter]]&lt;="2021-Q2"), "CARES_Period", "Normal_Period")</f>
        <v>Normal_Period</v>
      </c>
    </row>
    <row r="237" spans="1:8" x14ac:dyDescent="0.25">
      <c r="A237" t="s">
        <v>18</v>
      </c>
      <c r="B237" s="1" t="s">
        <v>63</v>
      </c>
      <c r="C237">
        <v>-25106</v>
      </c>
      <c r="D237">
        <v>86.393333333333331</v>
      </c>
      <c r="E237">
        <v>9912178</v>
      </c>
      <c r="F237">
        <v>194794.37000000002</v>
      </c>
      <c r="G237">
        <v>2640722924</v>
      </c>
      <c r="H237" t="str">
        <f>IF(AND(Fact_Financials_Master[[#This Row],[Year_Quarter]]&gt;="2020-Q2", Fact_Financials_Master[[#This Row],[Year_Quarter]]&lt;="2021-Q2"), "CARES_Period", "Normal_Period")</f>
        <v>Normal_Period</v>
      </c>
    </row>
    <row r="238" spans="1:8" x14ac:dyDescent="0.25">
      <c r="A238" t="s">
        <v>17</v>
      </c>
      <c r="B238" s="1" t="s">
        <v>68</v>
      </c>
      <c r="C238">
        <v>8542</v>
      </c>
      <c r="D238">
        <v>90.766666666666666</v>
      </c>
      <c r="E238">
        <v>370715</v>
      </c>
      <c r="F238">
        <v>15471.2</v>
      </c>
      <c r="G238">
        <v>129728322</v>
      </c>
      <c r="H238" t="str">
        <f>IF(AND(Fact_Financials_Master[[#This Row],[Year_Quarter]]&gt;="2020-Q2", Fact_Financials_Master[[#This Row],[Year_Quarter]]&lt;="2021-Q2"), "CARES_Period", "Normal_Period")</f>
        <v>Normal_Period</v>
      </c>
    </row>
    <row r="239" spans="1:8" x14ac:dyDescent="0.25">
      <c r="A239" t="s">
        <v>26</v>
      </c>
      <c r="B239" s="1" t="s">
        <v>60</v>
      </c>
      <c r="C239">
        <v>38004</v>
      </c>
      <c r="D239">
        <v>85.403333333333336</v>
      </c>
      <c r="E239">
        <v>638414</v>
      </c>
      <c r="F239">
        <v>105676.99</v>
      </c>
      <c r="G239">
        <v>175907058</v>
      </c>
      <c r="H239" t="str">
        <f>IF(AND(Fact_Financials_Master[[#This Row],[Year_Quarter]]&gt;="2020-Q2", Fact_Financials_Master[[#This Row],[Year_Quarter]]&lt;="2021-Q2"), "CARES_Period", "Normal_Period")</f>
        <v>Normal_Period</v>
      </c>
    </row>
    <row r="240" spans="1:8" x14ac:dyDescent="0.25">
      <c r="A240" t="s">
        <v>17</v>
      </c>
      <c r="B240" s="1" t="s">
        <v>61</v>
      </c>
      <c r="C240">
        <v>33841</v>
      </c>
      <c r="D240">
        <v>90.106666666666669</v>
      </c>
      <c r="E240">
        <v>220333</v>
      </c>
      <c r="F240">
        <v>34246.300000000003</v>
      </c>
      <c r="G240">
        <v>100082601</v>
      </c>
      <c r="H240" t="str">
        <f>IF(AND(Fact_Financials_Master[[#This Row],[Year_Quarter]]&gt;="2020-Q2", Fact_Financials_Master[[#This Row],[Year_Quarter]]&lt;="2021-Q2"), "CARES_Period", "Normal_Period")</f>
        <v>Normal_Period</v>
      </c>
    </row>
    <row r="241" spans="1:8" x14ac:dyDescent="0.25">
      <c r="A241" t="s">
        <v>56</v>
      </c>
      <c r="B241" s="1" t="s">
        <v>64</v>
      </c>
      <c r="C241">
        <v>-277849</v>
      </c>
      <c r="D241">
        <v>76.7</v>
      </c>
      <c r="E241">
        <v>4693765</v>
      </c>
      <c r="F241">
        <v>-150924</v>
      </c>
      <c r="G241">
        <v>953335734</v>
      </c>
      <c r="H241" t="str">
        <f>IF(AND(Fact_Financials_Master[[#This Row],[Year_Quarter]]&gt;="2020-Q2", Fact_Financials_Master[[#This Row],[Year_Quarter]]&lt;="2021-Q2"), "CARES_Period", "Normal_Period")</f>
        <v>Normal_Period</v>
      </c>
    </row>
    <row r="242" spans="1:8" x14ac:dyDescent="0.25">
      <c r="A242" t="s">
        <v>27</v>
      </c>
      <c r="B242" s="1" t="s">
        <v>60</v>
      </c>
      <c r="C242">
        <v>14988</v>
      </c>
      <c r="D242">
        <v>83.606666666666669</v>
      </c>
      <c r="E242">
        <v>573681</v>
      </c>
      <c r="F242">
        <v>77448.63</v>
      </c>
      <c r="G242">
        <v>145623718</v>
      </c>
      <c r="H242" t="str">
        <f>IF(AND(Fact_Financials_Master[[#This Row],[Year_Quarter]]&gt;="2020-Q2", Fact_Financials_Master[[#This Row],[Year_Quarter]]&lt;="2021-Q2"), "CARES_Period", "Normal_Period")</f>
        <v>Normal_Period</v>
      </c>
    </row>
    <row r="243" spans="1:8" x14ac:dyDescent="0.25">
      <c r="A243" t="s">
        <v>17</v>
      </c>
      <c r="B243" s="1" t="s">
        <v>67</v>
      </c>
      <c r="C243">
        <v>29782</v>
      </c>
      <c r="D243">
        <v>85.73</v>
      </c>
      <c r="E243">
        <v>346308</v>
      </c>
      <c r="F243">
        <v>55132.4</v>
      </c>
      <c r="G243">
        <v>120233446</v>
      </c>
      <c r="H243" t="str">
        <f>IF(AND(Fact_Financials_Master[[#This Row],[Year_Quarter]]&gt;="2020-Q2", Fact_Financials_Master[[#This Row],[Year_Quarter]]&lt;="2021-Q2"), "CARES_Period", "Normal_Period")</f>
        <v>Normal_Period</v>
      </c>
    </row>
    <row r="244" spans="1:8" x14ac:dyDescent="0.25">
      <c r="A244" t="s">
        <v>51</v>
      </c>
      <c r="B244" s="1" t="s">
        <v>67</v>
      </c>
      <c r="C244">
        <v>-157305</v>
      </c>
      <c r="D244">
        <v>72.733333333333334</v>
      </c>
      <c r="E244">
        <v>498490</v>
      </c>
      <c r="F244">
        <v>-162624.28999999998</v>
      </c>
      <c r="G244">
        <v>103597136</v>
      </c>
      <c r="H244" t="str">
        <f>IF(AND(Fact_Financials_Master[[#This Row],[Year_Quarter]]&gt;="2020-Q2", Fact_Financials_Master[[#This Row],[Year_Quarter]]&lt;="2021-Q2"), "CARES_Period", "Normal_Period")</f>
        <v>CARES_Period</v>
      </c>
    </row>
    <row r="245" spans="1:8" x14ac:dyDescent="0.25">
      <c r="A245" t="s">
        <v>17</v>
      </c>
      <c r="B245" s="1" t="s">
        <v>63</v>
      </c>
      <c r="C245">
        <v>369559</v>
      </c>
      <c r="D245">
        <v>86.653333333333336</v>
      </c>
      <c r="E245">
        <v>9940572</v>
      </c>
      <c r="F245">
        <v>576095.94999999995</v>
      </c>
      <c r="G245">
        <v>2659303353</v>
      </c>
      <c r="H245" t="str">
        <f>IF(AND(Fact_Financials_Master[[#This Row],[Year_Quarter]]&gt;="2020-Q2", Fact_Financials_Master[[#This Row],[Year_Quarter]]&lt;="2021-Q2"), "CARES_Period", "Normal_Period")</f>
        <v>Normal_Period</v>
      </c>
    </row>
    <row r="246" spans="1:8" x14ac:dyDescent="0.25">
      <c r="A246" t="s">
        <v>28</v>
      </c>
      <c r="B246" s="1" t="s">
        <v>60</v>
      </c>
      <c r="C246">
        <v>32651</v>
      </c>
      <c r="D246">
        <v>81.52</v>
      </c>
      <c r="E246">
        <v>539206</v>
      </c>
      <c r="F246">
        <v>72014.23</v>
      </c>
      <c r="G246">
        <v>106963294</v>
      </c>
      <c r="H246" t="str">
        <f>IF(AND(Fact_Financials_Master[[#This Row],[Year_Quarter]]&gt;="2020-Q2", Fact_Financials_Master[[#This Row],[Year_Quarter]]&lt;="2021-Q2"), "CARES_Period", "Normal_Period")</f>
        <v>Normal_Period</v>
      </c>
    </row>
    <row r="247" spans="1:8" x14ac:dyDescent="0.25">
      <c r="A247" t="s">
        <v>17</v>
      </c>
      <c r="B247" s="1" t="s">
        <v>64</v>
      </c>
      <c r="C247">
        <v>228340</v>
      </c>
      <c r="D247">
        <v>81.650000000000006</v>
      </c>
      <c r="E247">
        <v>4615890</v>
      </c>
      <c r="F247">
        <v>459664</v>
      </c>
      <c r="G247">
        <v>1519353713</v>
      </c>
      <c r="H247" t="str">
        <f>IF(AND(Fact_Financials_Master[[#This Row],[Year_Quarter]]&gt;="2020-Q2", Fact_Financials_Master[[#This Row],[Year_Quarter]]&lt;="2021-Q2"), "CARES_Period", "Normal_Period")</f>
        <v>Normal_Period</v>
      </c>
    </row>
    <row r="248" spans="1:8" x14ac:dyDescent="0.25">
      <c r="A248" t="s">
        <v>29</v>
      </c>
      <c r="B248" s="1" t="s">
        <v>60</v>
      </c>
      <c r="C248">
        <v>50162</v>
      </c>
      <c r="D248">
        <v>84.506666666666661</v>
      </c>
      <c r="E248">
        <v>570254</v>
      </c>
      <c r="F248">
        <v>92376.260000000009</v>
      </c>
      <c r="G248">
        <v>107869286</v>
      </c>
      <c r="H248" t="str">
        <f>IF(AND(Fact_Financials_Master[[#This Row],[Year_Quarter]]&gt;="2020-Q2", Fact_Financials_Master[[#This Row],[Year_Quarter]]&lt;="2021-Q2"), "CARES_Period", "Normal_Period")</f>
        <v>Normal_Period</v>
      </c>
    </row>
    <row r="249" spans="1:8" x14ac:dyDescent="0.25">
      <c r="A249" t="s">
        <v>18</v>
      </c>
      <c r="B249" s="1" t="s">
        <v>66</v>
      </c>
      <c r="C249">
        <v>160670</v>
      </c>
      <c r="D249">
        <v>87.21</v>
      </c>
      <c r="E249">
        <v>1270296</v>
      </c>
      <c r="F249">
        <v>237058</v>
      </c>
      <c r="G249">
        <v>329581189</v>
      </c>
      <c r="H249" t="str">
        <f>IF(AND(Fact_Financials_Master[[#This Row],[Year_Quarter]]&gt;="2020-Q2", Fact_Financials_Master[[#This Row],[Year_Quarter]]&lt;="2021-Q2"), "CARES_Period", "Normal_Period")</f>
        <v>Normal_Period</v>
      </c>
    </row>
    <row r="250" spans="1:8" x14ac:dyDescent="0.25">
      <c r="A250" t="s">
        <v>18</v>
      </c>
      <c r="B250" s="1" t="s">
        <v>65</v>
      </c>
      <c r="C250">
        <v>44288</v>
      </c>
      <c r="D250">
        <v>84.683333333333337</v>
      </c>
      <c r="E250">
        <v>1307179</v>
      </c>
      <c r="F250">
        <v>112968.46</v>
      </c>
      <c r="G250">
        <v>480689710</v>
      </c>
      <c r="H250" t="str">
        <f>IF(AND(Fact_Financials_Master[[#This Row],[Year_Quarter]]&gt;="2020-Q2", Fact_Financials_Master[[#This Row],[Year_Quarter]]&lt;="2021-Q2"), "CARES_Period", "Normal_Period")</f>
        <v>Normal_Period</v>
      </c>
    </row>
    <row r="251" spans="1:8" x14ac:dyDescent="0.25">
      <c r="A251" t="s">
        <v>30</v>
      </c>
      <c r="B251" s="1" t="s">
        <v>60</v>
      </c>
      <c r="C251">
        <v>71098</v>
      </c>
      <c r="D251">
        <v>84.899999999999991</v>
      </c>
      <c r="E251">
        <v>630657</v>
      </c>
      <c r="F251">
        <v>156130.66999999998</v>
      </c>
      <c r="G251">
        <v>101527462</v>
      </c>
      <c r="H251" t="str">
        <f>IF(AND(Fact_Financials_Master[[#This Row],[Year_Quarter]]&gt;="2020-Q2", Fact_Financials_Master[[#This Row],[Year_Quarter]]&lt;="2021-Q2"), "CARES_Period", "Normal_Period")</f>
        <v>Normal_Period</v>
      </c>
    </row>
    <row r="252" spans="1:8" x14ac:dyDescent="0.25">
      <c r="A252" t="s">
        <v>18</v>
      </c>
      <c r="B252" s="1" t="s">
        <v>62</v>
      </c>
      <c r="C252">
        <v>1169931</v>
      </c>
      <c r="D252">
        <v>86.786666666666662</v>
      </c>
      <c r="E252">
        <v>9979901</v>
      </c>
      <c r="F252">
        <v>1461050</v>
      </c>
      <c r="G252">
        <v>2622380178</v>
      </c>
      <c r="H252" t="str">
        <f>IF(AND(Fact_Financials_Master[[#This Row],[Year_Quarter]]&gt;="2020-Q2", Fact_Financials_Master[[#This Row],[Year_Quarter]]&lt;="2021-Q2"), "CARES_Period", "Normal_Period")</f>
        <v>Normal_Period</v>
      </c>
    </row>
    <row r="253" spans="1:8" x14ac:dyDescent="0.25">
      <c r="A253" t="s">
        <v>31</v>
      </c>
      <c r="B253" s="1" t="s">
        <v>60</v>
      </c>
      <c r="C253">
        <v>38956</v>
      </c>
      <c r="D253">
        <v>84.63333333333334</v>
      </c>
      <c r="E253">
        <v>573040</v>
      </c>
      <c r="F253">
        <v>110502.3</v>
      </c>
      <c r="G253">
        <v>84447485</v>
      </c>
      <c r="H253" t="str">
        <f>IF(AND(Fact_Financials_Master[[#This Row],[Year_Quarter]]&gt;="2020-Q2", Fact_Financials_Master[[#This Row],[Year_Quarter]]&lt;="2021-Q2"), "CARES_Period", "Normal_Period")</f>
        <v>Normal_Period</v>
      </c>
    </row>
    <row r="254" spans="1:8" x14ac:dyDescent="0.25">
      <c r="A254" t="s">
        <v>18</v>
      </c>
      <c r="B254" s="1" t="s">
        <v>68</v>
      </c>
      <c r="C254">
        <v>18319</v>
      </c>
      <c r="D254">
        <v>92.27</v>
      </c>
      <c r="E254">
        <v>375779</v>
      </c>
      <c r="F254">
        <v>31123.78</v>
      </c>
      <c r="G254">
        <v>133223808</v>
      </c>
      <c r="H254" t="str">
        <f>IF(AND(Fact_Financials_Master[[#This Row],[Year_Quarter]]&gt;="2020-Q2", Fact_Financials_Master[[#This Row],[Year_Quarter]]&lt;="2021-Q2"), "CARES_Period", "Normal_Period")</f>
        <v>Normal_Period</v>
      </c>
    </row>
    <row r="255" spans="1:8" x14ac:dyDescent="0.25">
      <c r="A255" t="s">
        <v>56</v>
      </c>
      <c r="B255" s="1" t="s">
        <v>60</v>
      </c>
      <c r="C255">
        <v>-120940</v>
      </c>
      <c r="D255">
        <v>73.983333333333334</v>
      </c>
      <c r="E255">
        <v>476541</v>
      </c>
      <c r="F255">
        <v>-145747.16</v>
      </c>
      <c r="G255">
        <v>144039520</v>
      </c>
      <c r="H255" t="str">
        <f>IF(AND(Fact_Financials_Master[[#This Row],[Year_Quarter]]&gt;="2020-Q2", Fact_Financials_Master[[#This Row],[Year_Quarter]]&lt;="2021-Q2"), "CARES_Period", "Normal_Period")</f>
        <v>Normal_Period</v>
      </c>
    </row>
    <row r="256" spans="1:8" x14ac:dyDescent="0.25">
      <c r="A256" t="s">
        <v>18</v>
      </c>
      <c r="B256" s="1" t="s">
        <v>61</v>
      </c>
      <c r="C256">
        <v>22119</v>
      </c>
      <c r="D256">
        <v>89.55</v>
      </c>
      <c r="E256">
        <v>207146</v>
      </c>
      <c r="F256">
        <v>22427.45</v>
      </c>
      <c r="G256">
        <v>96113358</v>
      </c>
      <c r="H256" t="str">
        <f>IF(AND(Fact_Financials_Master[[#This Row],[Year_Quarter]]&gt;="2020-Q2", Fact_Financials_Master[[#This Row],[Year_Quarter]]&lt;="2021-Q2"), "CARES_Period", "Normal_Period")</f>
        <v>Normal_Period</v>
      </c>
    </row>
    <row r="257" spans="1:8" x14ac:dyDescent="0.25">
      <c r="A257" t="s">
        <v>32</v>
      </c>
      <c r="B257" s="1" t="s">
        <v>60</v>
      </c>
      <c r="C257">
        <v>53016</v>
      </c>
      <c r="D257">
        <v>82.913333333333327</v>
      </c>
      <c r="E257">
        <v>547790</v>
      </c>
      <c r="F257">
        <v>95334.569999999992</v>
      </c>
      <c r="G257">
        <v>66299120</v>
      </c>
      <c r="H257" t="str">
        <f>IF(AND(Fact_Financials_Master[[#This Row],[Year_Quarter]]&gt;="2020-Q2", Fact_Financials_Master[[#This Row],[Year_Quarter]]&lt;="2021-Q2"), "CARES_Period", "Normal_Period")</f>
        <v>Normal_Period</v>
      </c>
    </row>
    <row r="258" spans="1:8" x14ac:dyDescent="0.25">
      <c r="A258" t="s">
        <v>33</v>
      </c>
      <c r="B258" s="1" t="s">
        <v>60</v>
      </c>
      <c r="C258">
        <v>80739</v>
      </c>
      <c r="D258">
        <v>88.126666666666665</v>
      </c>
      <c r="E258">
        <v>592384</v>
      </c>
      <c r="F258">
        <v>121457.21</v>
      </c>
      <c r="G258">
        <v>80547123</v>
      </c>
      <c r="H258" t="str">
        <f>IF(AND(Fact_Financials_Master[[#This Row],[Year_Quarter]]&gt;="2020-Q2", Fact_Financials_Master[[#This Row],[Year_Quarter]]&lt;="2021-Q2"), "CARES_Period", "Normal_Period")</f>
        <v>Normal_Period</v>
      </c>
    </row>
    <row r="259" spans="1:8" x14ac:dyDescent="0.25">
      <c r="A259" t="s">
        <v>18</v>
      </c>
      <c r="B259" s="1" t="s">
        <v>67</v>
      </c>
      <c r="C259">
        <v>26359</v>
      </c>
      <c r="D259">
        <v>86.733333333333334</v>
      </c>
      <c r="E259">
        <v>342317</v>
      </c>
      <c r="F259">
        <v>49680.729999999996</v>
      </c>
      <c r="G259">
        <v>121987358</v>
      </c>
      <c r="H259" t="str">
        <f>IF(AND(Fact_Financials_Master[[#This Row],[Year_Quarter]]&gt;="2020-Q2", Fact_Financials_Master[[#This Row],[Year_Quarter]]&lt;="2021-Q2"), "CARES_Period", "Normal_Period")</f>
        <v>Normal_Period</v>
      </c>
    </row>
    <row r="260" spans="1:8" x14ac:dyDescent="0.25">
      <c r="A260" t="s">
        <v>53</v>
      </c>
      <c r="B260" s="1" t="s">
        <v>64</v>
      </c>
      <c r="C260">
        <v>347738</v>
      </c>
      <c r="D260">
        <v>82.63</v>
      </c>
      <c r="E260">
        <v>4007944</v>
      </c>
      <c r="F260">
        <v>-130328</v>
      </c>
      <c r="G260">
        <v>776986147</v>
      </c>
      <c r="H260" t="str">
        <f>IF(AND(Fact_Financials_Master[[#This Row],[Year_Quarter]]&gt;="2020-Q2", Fact_Financials_Master[[#This Row],[Year_Quarter]]&lt;="2021-Q2"), "CARES_Period", "Normal_Period")</f>
        <v>CARES_Period</v>
      </c>
    </row>
    <row r="261" spans="1:8" x14ac:dyDescent="0.25">
      <c r="A261" t="s">
        <v>34</v>
      </c>
      <c r="B261" s="1" t="s">
        <v>60</v>
      </c>
      <c r="C261">
        <v>103518</v>
      </c>
      <c r="D261">
        <v>87.64</v>
      </c>
      <c r="E261">
        <v>670114</v>
      </c>
      <c r="F261">
        <v>177784.94</v>
      </c>
      <c r="G261">
        <v>90381635</v>
      </c>
      <c r="H261" t="str">
        <f>IF(AND(Fact_Financials_Master[[#This Row],[Year_Quarter]]&gt;="2020-Q2", Fact_Financials_Master[[#This Row],[Year_Quarter]]&lt;="2021-Q2"), "CARES_Period", "Normal_Period")</f>
        <v>Normal_Period</v>
      </c>
    </row>
    <row r="262" spans="1:8" x14ac:dyDescent="0.25">
      <c r="A262" t="s">
        <v>18</v>
      </c>
      <c r="B262" s="1" t="s">
        <v>64</v>
      </c>
      <c r="C262">
        <v>16064</v>
      </c>
      <c r="D262">
        <v>81.916666666666671</v>
      </c>
      <c r="E262">
        <v>4308455</v>
      </c>
      <c r="F262">
        <v>50733</v>
      </c>
      <c r="G262">
        <v>1474806598</v>
      </c>
      <c r="H262" t="str">
        <f>IF(AND(Fact_Financials_Master[[#This Row],[Year_Quarter]]&gt;="2020-Q2", Fact_Financials_Master[[#This Row],[Year_Quarter]]&lt;="2021-Q2"), "CARES_Period", "Normal_Period")</f>
        <v>Normal_Period</v>
      </c>
    </row>
    <row r="263" spans="1:8" x14ac:dyDescent="0.25">
      <c r="A263" t="s">
        <v>35</v>
      </c>
      <c r="B263" s="1" t="s">
        <v>60</v>
      </c>
      <c r="C263">
        <v>3168</v>
      </c>
      <c r="D263">
        <v>88.54</v>
      </c>
      <c r="E263">
        <v>631236</v>
      </c>
      <c r="F263">
        <v>81131.179999999993</v>
      </c>
      <c r="G263">
        <v>91760327</v>
      </c>
      <c r="H263" t="str">
        <f>IF(AND(Fact_Financials_Master[[#This Row],[Year_Quarter]]&gt;="2020-Q2", Fact_Financials_Master[[#This Row],[Year_Quarter]]&lt;="2021-Q2"), "CARES_Period", "Normal_Period")</f>
        <v>Normal_Period</v>
      </c>
    </row>
    <row r="264" spans="1:8" x14ac:dyDescent="0.25">
      <c r="A264" t="s">
        <v>36</v>
      </c>
      <c r="B264" s="1" t="s">
        <v>60</v>
      </c>
      <c r="C264">
        <v>38963</v>
      </c>
      <c r="D264">
        <v>87.09</v>
      </c>
      <c r="E264">
        <v>612543</v>
      </c>
      <c r="F264">
        <v>71867.049999999988</v>
      </c>
      <c r="G264">
        <v>99441345</v>
      </c>
      <c r="H264" t="str">
        <f>IF(AND(Fact_Financials_Master[[#This Row],[Year_Quarter]]&gt;="2020-Q2", Fact_Financials_Master[[#This Row],[Year_Quarter]]&lt;="2021-Q2"), "CARES_Period", "Normal_Period")</f>
        <v>Normal_Period</v>
      </c>
    </row>
    <row r="265" spans="1:8" x14ac:dyDescent="0.25">
      <c r="A265" t="s">
        <v>19</v>
      </c>
      <c r="B265" s="1" t="s">
        <v>66</v>
      </c>
      <c r="C265">
        <v>38126</v>
      </c>
      <c r="D265">
        <v>85.86333333333333</v>
      </c>
      <c r="E265">
        <v>1130818</v>
      </c>
      <c r="F265">
        <v>88363</v>
      </c>
      <c r="G265">
        <v>323336303</v>
      </c>
      <c r="H265" t="str">
        <f>IF(AND(Fact_Financials_Master[[#This Row],[Year_Quarter]]&gt;="2020-Q2", Fact_Financials_Master[[#This Row],[Year_Quarter]]&lt;="2021-Q2"), "CARES_Period", "Normal_Period")</f>
        <v>Normal_Period</v>
      </c>
    </row>
    <row r="266" spans="1:8" x14ac:dyDescent="0.25">
      <c r="A266" t="s">
        <v>37</v>
      </c>
      <c r="B266" s="1" t="s">
        <v>60</v>
      </c>
      <c r="C266">
        <v>81839</v>
      </c>
      <c r="D266">
        <v>89.926666666666662</v>
      </c>
      <c r="E266">
        <v>673608</v>
      </c>
      <c r="F266">
        <v>149368.47999999998</v>
      </c>
      <c r="G266">
        <v>98522853</v>
      </c>
      <c r="H266" t="str">
        <f>IF(AND(Fact_Financials_Master[[#This Row],[Year_Quarter]]&gt;="2020-Q2", Fact_Financials_Master[[#This Row],[Year_Quarter]]&lt;="2021-Q2"), "CARES_Period", "Normal_Period")</f>
        <v>Normal_Period</v>
      </c>
    </row>
    <row r="267" spans="1:8" x14ac:dyDescent="0.25">
      <c r="A267" t="s">
        <v>19</v>
      </c>
      <c r="B267" s="1" t="s">
        <v>65</v>
      </c>
      <c r="C267">
        <v>803</v>
      </c>
      <c r="D267">
        <v>83.14</v>
      </c>
      <c r="E267">
        <v>1194037</v>
      </c>
      <c r="F267">
        <v>45430.320000000007</v>
      </c>
      <c r="G267">
        <v>442274374</v>
      </c>
      <c r="H267" t="str">
        <f>IF(AND(Fact_Financials_Master[[#This Row],[Year_Quarter]]&gt;="2020-Q2", Fact_Financials_Master[[#This Row],[Year_Quarter]]&lt;="2021-Q2"), "CARES_Period", "Normal_Period")</f>
        <v>Normal_Period</v>
      </c>
    </row>
    <row r="268" spans="1:8" x14ac:dyDescent="0.25">
      <c r="A268" t="s">
        <v>57</v>
      </c>
      <c r="B268" s="1" t="s">
        <v>63</v>
      </c>
      <c r="C268">
        <v>329940</v>
      </c>
      <c r="D268">
        <v>90.516666666666666</v>
      </c>
      <c r="E268">
        <v>12111788</v>
      </c>
      <c r="F268">
        <v>877920.36</v>
      </c>
      <c r="G268">
        <v>3143025154</v>
      </c>
      <c r="H268" t="str">
        <f>IF(AND(Fact_Financials_Master[[#This Row],[Year_Quarter]]&gt;="2020-Q2", Fact_Financials_Master[[#This Row],[Year_Quarter]]&lt;="2021-Q2"), "CARES_Period", "Normal_Period")</f>
        <v>Normal_Period</v>
      </c>
    </row>
    <row r="269" spans="1:8" x14ac:dyDescent="0.25">
      <c r="A269" t="s">
        <v>19</v>
      </c>
      <c r="B269" s="1" t="s">
        <v>62</v>
      </c>
      <c r="C269">
        <v>-20422</v>
      </c>
      <c r="D269">
        <v>84.54</v>
      </c>
      <c r="E269">
        <v>8650777</v>
      </c>
      <c r="F269">
        <v>468302</v>
      </c>
      <c r="G269">
        <v>2386443862</v>
      </c>
      <c r="H269" t="str">
        <f>IF(AND(Fact_Financials_Master[[#This Row],[Year_Quarter]]&gt;="2020-Q2", Fact_Financials_Master[[#This Row],[Year_Quarter]]&lt;="2021-Q2"), "CARES_Period", "Normal_Period")</f>
        <v>Normal_Period</v>
      </c>
    </row>
    <row r="270" spans="1:8" x14ac:dyDescent="0.25">
      <c r="A270" t="s">
        <v>38</v>
      </c>
      <c r="B270" s="1" t="s">
        <v>60</v>
      </c>
      <c r="C270">
        <v>75779</v>
      </c>
      <c r="D270">
        <v>88.53</v>
      </c>
      <c r="E270">
        <v>717812</v>
      </c>
      <c r="F270">
        <v>175580.79</v>
      </c>
      <c r="G270">
        <v>105448874</v>
      </c>
      <c r="H270" t="str">
        <f>IF(AND(Fact_Financials_Master[[#This Row],[Year_Quarter]]&gt;="2020-Q2", Fact_Financials_Master[[#This Row],[Year_Quarter]]&lt;="2021-Q2"), "CARES_Period", "Normal_Period")</f>
        <v>Normal_Period</v>
      </c>
    </row>
    <row r="271" spans="1:8" x14ac:dyDescent="0.25">
      <c r="A271" t="s">
        <v>19</v>
      </c>
      <c r="B271" s="1" t="s">
        <v>68</v>
      </c>
      <c r="C271">
        <v>-8665</v>
      </c>
      <c r="D271">
        <v>89.873333333333335</v>
      </c>
      <c r="E271">
        <v>344640</v>
      </c>
      <c r="F271">
        <v>2837.21</v>
      </c>
      <c r="G271">
        <v>114522250</v>
      </c>
      <c r="H271" t="str">
        <f>IF(AND(Fact_Financials_Master[[#This Row],[Year_Quarter]]&gt;="2020-Q2", Fact_Financials_Master[[#This Row],[Year_Quarter]]&lt;="2021-Q2"), "CARES_Period", "Normal_Period")</f>
        <v>Normal_Period</v>
      </c>
    </row>
    <row r="272" spans="1:8" x14ac:dyDescent="0.25">
      <c r="A272" t="s">
        <v>48</v>
      </c>
      <c r="B272" s="1" t="s">
        <v>68</v>
      </c>
      <c r="C272">
        <v>-59506</v>
      </c>
      <c r="D272">
        <v>73.599999999999994</v>
      </c>
      <c r="E272">
        <v>543918</v>
      </c>
      <c r="F272">
        <v>-99036.15</v>
      </c>
      <c r="G272">
        <v>117444790</v>
      </c>
      <c r="H272" t="str">
        <f>IF(AND(Fact_Financials_Master[[#This Row],[Year_Quarter]]&gt;="2020-Q2", Fact_Financials_Master[[#This Row],[Year_Quarter]]&lt;="2021-Q2"), "CARES_Period", "Normal_Period")</f>
        <v>Normal_Period</v>
      </c>
    </row>
    <row r="273" spans="1:8" x14ac:dyDescent="0.25">
      <c r="A273" t="s">
        <v>19</v>
      </c>
      <c r="B273" s="1" t="s">
        <v>61</v>
      </c>
      <c r="C273">
        <v>20451</v>
      </c>
      <c r="D273">
        <v>86.623333333333335</v>
      </c>
      <c r="E273">
        <v>214198</v>
      </c>
      <c r="F273">
        <v>20701.13</v>
      </c>
      <c r="G273">
        <v>96854910</v>
      </c>
      <c r="H273" t="str">
        <f>IF(AND(Fact_Financials_Master[[#This Row],[Year_Quarter]]&gt;="2020-Q2", Fact_Financials_Master[[#This Row],[Year_Quarter]]&lt;="2021-Q2"), "CARES_Period", "Normal_Period")</f>
        <v>Normal_Period</v>
      </c>
    </row>
    <row r="274" spans="1:8" x14ac:dyDescent="0.25">
      <c r="A274" t="s">
        <v>39</v>
      </c>
      <c r="B274" s="1" t="s">
        <v>60</v>
      </c>
      <c r="C274">
        <v>173197</v>
      </c>
      <c r="D274">
        <v>88.13333333333334</v>
      </c>
      <c r="E274">
        <v>683957</v>
      </c>
      <c r="F274">
        <v>102022.87</v>
      </c>
      <c r="G274">
        <v>118986916</v>
      </c>
      <c r="H274" t="str">
        <f>IF(AND(Fact_Financials_Master[[#This Row],[Year_Quarter]]&gt;="2020-Q2", Fact_Financials_Master[[#This Row],[Year_Quarter]]&lt;="2021-Q2"), "CARES_Period", "Normal_Period")</f>
        <v>Normal_Period</v>
      </c>
    </row>
    <row r="275" spans="1:8" x14ac:dyDescent="0.25">
      <c r="A275" t="s">
        <v>50</v>
      </c>
      <c r="B275" s="1" t="s">
        <v>61</v>
      </c>
      <c r="C275">
        <v>-41594</v>
      </c>
      <c r="D275">
        <v>51.263333333333328</v>
      </c>
      <c r="E275">
        <v>185964</v>
      </c>
      <c r="F275">
        <v>-113499.15</v>
      </c>
      <c r="G275">
        <v>52738508</v>
      </c>
      <c r="H275" t="str">
        <f>IF(AND(Fact_Financials_Master[[#This Row],[Year_Quarter]]&gt;="2020-Q2", Fact_Financials_Master[[#This Row],[Year_Quarter]]&lt;="2021-Q2"), "CARES_Period", "Normal_Period")</f>
        <v>CARES_Period</v>
      </c>
    </row>
    <row r="276" spans="1:8" x14ac:dyDescent="0.25">
      <c r="A276" t="s">
        <v>19</v>
      </c>
      <c r="B276" s="1" t="s">
        <v>67</v>
      </c>
      <c r="C276">
        <v>19566</v>
      </c>
      <c r="D276">
        <v>85.8</v>
      </c>
      <c r="E276">
        <v>328268</v>
      </c>
      <c r="F276">
        <v>31932.510000000002</v>
      </c>
      <c r="G276">
        <v>120788404</v>
      </c>
      <c r="H276" t="str">
        <f>IF(AND(Fact_Financials_Master[[#This Row],[Year_Quarter]]&gt;="2020-Q2", Fact_Financials_Master[[#This Row],[Year_Quarter]]&lt;="2021-Q2"), "CARES_Period", "Normal_Period")</f>
        <v>Normal_Period</v>
      </c>
    </row>
    <row r="277" spans="1:8" x14ac:dyDescent="0.25">
      <c r="A277" t="s">
        <v>40</v>
      </c>
      <c r="B277" s="1" t="s">
        <v>60</v>
      </c>
      <c r="C277">
        <v>29848</v>
      </c>
      <c r="D277">
        <v>85.52</v>
      </c>
      <c r="E277">
        <v>663413</v>
      </c>
      <c r="F277">
        <v>38847.78</v>
      </c>
      <c r="G277">
        <v>128572480</v>
      </c>
      <c r="H277" t="str">
        <f>IF(AND(Fact_Financials_Master[[#This Row],[Year_Quarter]]&gt;="2020-Q2", Fact_Financials_Master[[#This Row],[Year_Quarter]]&lt;="2021-Q2"), "CARES_Period", "Normal_Period")</f>
        <v>Normal_Period</v>
      </c>
    </row>
    <row r="278" spans="1:8" x14ac:dyDescent="0.25">
      <c r="A278" t="s">
        <v>19</v>
      </c>
      <c r="B278" s="1" t="s">
        <v>64</v>
      </c>
      <c r="C278">
        <v>78305</v>
      </c>
      <c r="D278">
        <v>79.649999999999991</v>
      </c>
      <c r="E278">
        <v>4172732</v>
      </c>
      <c r="F278">
        <v>91357</v>
      </c>
      <c r="G278">
        <v>1451850390</v>
      </c>
      <c r="H278" t="str">
        <f>IF(AND(Fact_Financials_Master[[#This Row],[Year_Quarter]]&gt;="2020-Q2", Fact_Financials_Master[[#This Row],[Year_Quarter]]&lt;="2021-Q2"), "CARES_Period", "Normal_Period")</f>
        <v>Normal_Period</v>
      </c>
    </row>
    <row r="279" spans="1:8" x14ac:dyDescent="0.25">
      <c r="A279" t="s">
        <v>41</v>
      </c>
      <c r="B279" s="1" t="s">
        <v>60</v>
      </c>
      <c r="C279">
        <v>82842</v>
      </c>
      <c r="D279">
        <v>88.526666666666671</v>
      </c>
      <c r="E279">
        <v>713127</v>
      </c>
      <c r="F279">
        <v>96798.439999999988</v>
      </c>
      <c r="G279">
        <v>147267927</v>
      </c>
      <c r="H279" t="str">
        <f>IF(AND(Fact_Financials_Master[[#This Row],[Year_Quarter]]&gt;="2020-Q2", Fact_Financials_Master[[#This Row],[Year_Quarter]]&lt;="2021-Q2"), "CARES_Period", "Normal_Period")</f>
        <v>Normal_Period</v>
      </c>
    </row>
    <row r="280" spans="1:8" x14ac:dyDescent="0.25">
      <c r="A280" t="s">
        <v>42</v>
      </c>
      <c r="B280" s="1" t="s">
        <v>60</v>
      </c>
      <c r="C280">
        <v>95352</v>
      </c>
      <c r="D280">
        <v>85.91</v>
      </c>
      <c r="E280">
        <v>756313</v>
      </c>
      <c r="F280">
        <v>119690.37</v>
      </c>
      <c r="G280">
        <v>157171969</v>
      </c>
      <c r="H280" t="str">
        <f>IF(AND(Fact_Financials_Master[[#This Row],[Year_Quarter]]&gt;="2020-Q2", Fact_Financials_Master[[#This Row],[Year_Quarter]]&lt;="2021-Q2"), "CARES_Period", "Normal_Period")</f>
        <v>Normal_Period</v>
      </c>
    </row>
    <row r="281" spans="1:8" x14ac:dyDescent="0.25">
      <c r="A281" t="s">
        <v>20</v>
      </c>
      <c r="B281" s="1" t="s">
        <v>66</v>
      </c>
      <c r="C281">
        <v>33894</v>
      </c>
      <c r="D281">
        <v>85.286666666666662</v>
      </c>
      <c r="E281">
        <v>1131639</v>
      </c>
      <c r="F281">
        <v>82473</v>
      </c>
      <c r="G281">
        <v>329294599</v>
      </c>
      <c r="H281" t="str">
        <f>IF(AND(Fact_Financials_Master[[#This Row],[Year_Quarter]]&gt;="2020-Q2", Fact_Financials_Master[[#This Row],[Year_Quarter]]&lt;="2021-Q2"), "CARES_Period", "Normal_Period")</f>
        <v>Normal_Period</v>
      </c>
    </row>
    <row r="282" spans="1:8" x14ac:dyDescent="0.25">
      <c r="A282" t="s">
        <v>56</v>
      </c>
      <c r="B282" s="1" t="s">
        <v>68</v>
      </c>
      <c r="C282">
        <v>-114881</v>
      </c>
      <c r="D282">
        <v>76</v>
      </c>
      <c r="E282">
        <v>605147</v>
      </c>
      <c r="F282">
        <v>-144711.96</v>
      </c>
      <c r="G282">
        <v>196495928</v>
      </c>
      <c r="H282" t="str">
        <f>IF(AND(Fact_Financials_Master[[#This Row],[Year_Quarter]]&gt;="2020-Q2", Fact_Financials_Master[[#This Row],[Year_Quarter]]&lt;="2021-Q2"), "CARES_Period", "Normal_Period")</f>
        <v>Normal_Period</v>
      </c>
    </row>
    <row r="283" spans="1:8" x14ac:dyDescent="0.25">
      <c r="A283" t="s">
        <v>20</v>
      </c>
      <c r="B283" s="1" t="s">
        <v>65</v>
      </c>
      <c r="C283">
        <v>13840</v>
      </c>
      <c r="D283">
        <v>84.39</v>
      </c>
      <c r="E283">
        <v>1298942</v>
      </c>
      <c r="F283">
        <v>58837.98</v>
      </c>
      <c r="G283">
        <v>467398387</v>
      </c>
      <c r="H283" t="str">
        <f>IF(AND(Fact_Financials_Master[[#This Row],[Year_Quarter]]&gt;="2020-Q2", Fact_Financials_Master[[#This Row],[Year_Quarter]]&lt;="2021-Q2"), "CARES_Period", "Normal_Period")</f>
        <v>Normal_Period</v>
      </c>
    </row>
    <row r="284" spans="1:8" x14ac:dyDescent="0.25">
      <c r="A284" t="s">
        <v>43</v>
      </c>
      <c r="B284" s="1" t="s">
        <v>60</v>
      </c>
      <c r="C284">
        <v>35222</v>
      </c>
      <c r="D284">
        <v>86.210000000000008</v>
      </c>
      <c r="E284">
        <v>694362</v>
      </c>
      <c r="F284">
        <v>73987.820000000007</v>
      </c>
      <c r="G284">
        <v>144660505</v>
      </c>
      <c r="H284" t="str">
        <f>IF(AND(Fact_Financials_Master[[#This Row],[Year_Quarter]]&gt;="2020-Q2", Fact_Financials_Master[[#This Row],[Year_Quarter]]&lt;="2021-Q2"), "CARES_Period", "Normal_Period")</f>
        <v>Normal_Period</v>
      </c>
    </row>
    <row r="285" spans="1:8" x14ac:dyDescent="0.25">
      <c r="A285" t="s">
        <v>20</v>
      </c>
      <c r="B285" s="1" t="s">
        <v>62</v>
      </c>
      <c r="C285">
        <v>6760</v>
      </c>
      <c r="D285">
        <v>83.36</v>
      </c>
      <c r="E285">
        <v>8509156</v>
      </c>
      <c r="F285">
        <v>322621</v>
      </c>
      <c r="G285">
        <v>2313115232</v>
      </c>
      <c r="H285" t="str">
        <f>IF(AND(Fact_Financials_Master[[#This Row],[Year_Quarter]]&gt;="2020-Q2", Fact_Financials_Master[[#This Row],[Year_Quarter]]&lt;="2021-Q2"), "CARES_Period", "Normal_Period")</f>
        <v>Normal_Period</v>
      </c>
    </row>
    <row r="286" spans="1:8" x14ac:dyDescent="0.25">
      <c r="A286" t="s">
        <v>48</v>
      </c>
      <c r="B286" s="1" t="s">
        <v>64</v>
      </c>
      <c r="C286">
        <v>-94311</v>
      </c>
      <c r="D286">
        <v>67.116666666666674</v>
      </c>
      <c r="E286">
        <v>4233934</v>
      </c>
      <c r="F286">
        <v>-109526</v>
      </c>
      <c r="G286">
        <v>827505563</v>
      </c>
      <c r="H286" t="str">
        <f>IF(AND(Fact_Financials_Master[[#This Row],[Year_Quarter]]&gt;="2020-Q2", Fact_Financials_Master[[#This Row],[Year_Quarter]]&lt;="2021-Q2"), "CARES_Period", "Normal_Period")</f>
        <v>Normal_Period</v>
      </c>
    </row>
    <row r="287" spans="1:8" x14ac:dyDescent="0.25">
      <c r="A287" t="s">
        <v>20</v>
      </c>
      <c r="B287" s="1" t="s">
        <v>68</v>
      </c>
      <c r="C287">
        <v>-17345</v>
      </c>
      <c r="D287">
        <v>88.573333333333338</v>
      </c>
      <c r="E287">
        <v>310866</v>
      </c>
      <c r="F287">
        <v>-26975.19</v>
      </c>
      <c r="G287">
        <v>109561421</v>
      </c>
      <c r="H287" t="str">
        <f>IF(AND(Fact_Financials_Master[[#This Row],[Year_Quarter]]&gt;="2020-Q2", Fact_Financials_Master[[#This Row],[Year_Quarter]]&lt;="2021-Q2"), "CARES_Period", "Normal_Period")</f>
        <v>Normal_Period</v>
      </c>
    </row>
    <row r="288" spans="1:8" x14ac:dyDescent="0.25">
      <c r="A288" t="s">
        <v>44</v>
      </c>
      <c r="B288" s="1" t="s">
        <v>60</v>
      </c>
      <c r="C288">
        <v>40083</v>
      </c>
      <c r="D288">
        <v>86.583333333333329</v>
      </c>
      <c r="E288">
        <v>656089</v>
      </c>
      <c r="F288">
        <v>56859.96</v>
      </c>
      <c r="G288">
        <v>121072528</v>
      </c>
      <c r="H288" t="str">
        <f>IF(AND(Fact_Financials_Master[[#This Row],[Year_Quarter]]&gt;="2020-Q2", Fact_Financials_Master[[#This Row],[Year_Quarter]]&lt;="2021-Q2"), "CARES_Period", "Normal_Period")</f>
        <v>Normal_Period</v>
      </c>
    </row>
    <row r="289" spans="1:8" x14ac:dyDescent="0.25">
      <c r="A289" t="s">
        <v>20</v>
      </c>
      <c r="B289" s="1" t="s">
        <v>61</v>
      </c>
      <c r="C289">
        <v>44446</v>
      </c>
      <c r="D289">
        <v>89.513333333333335</v>
      </c>
      <c r="E289">
        <v>261539</v>
      </c>
      <c r="F289">
        <v>44674.559999999998</v>
      </c>
      <c r="G289">
        <v>109905272</v>
      </c>
      <c r="H289" t="str">
        <f>IF(AND(Fact_Financials_Master[[#This Row],[Year_Quarter]]&gt;="2020-Q2", Fact_Financials_Master[[#This Row],[Year_Quarter]]&lt;="2021-Q2"), "CARES_Period", "Normal_Period")</f>
        <v>Normal_Period</v>
      </c>
    </row>
    <row r="290" spans="1:8" x14ac:dyDescent="0.25">
      <c r="A290" t="s">
        <v>36</v>
      </c>
      <c r="B290" s="1" t="s">
        <v>63</v>
      </c>
      <c r="C290">
        <v>96745</v>
      </c>
      <c r="D290">
        <v>83.713333333333338</v>
      </c>
      <c r="E290">
        <v>8420115</v>
      </c>
      <c r="F290">
        <v>278363.26</v>
      </c>
      <c r="G290">
        <v>1230499297</v>
      </c>
      <c r="H290" t="str">
        <f>IF(AND(Fact_Financials_Master[[#This Row],[Year_Quarter]]&gt;="2020-Q2", Fact_Financials_Master[[#This Row],[Year_Quarter]]&lt;="2021-Q2"), "CARES_Period", "Normal_Period")</f>
        <v>Normal_Period</v>
      </c>
    </row>
    <row r="291" spans="1:8" x14ac:dyDescent="0.25">
      <c r="A291" t="s">
        <v>45</v>
      </c>
      <c r="B291" s="1" t="s">
        <v>60</v>
      </c>
      <c r="C291">
        <v>61755</v>
      </c>
      <c r="D291">
        <v>88.426666666666662</v>
      </c>
      <c r="E291">
        <v>711670</v>
      </c>
      <c r="F291">
        <v>93105.94</v>
      </c>
      <c r="G291">
        <v>135377593</v>
      </c>
      <c r="H291" t="str">
        <f>IF(AND(Fact_Financials_Master[[#This Row],[Year_Quarter]]&gt;="2020-Q2", Fact_Financials_Master[[#This Row],[Year_Quarter]]&lt;="2021-Q2"), "CARES_Period", "Normal_Period")</f>
        <v>Normal_Period</v>
      </c>
    </row>
    <row r="292" spans="1:8" x14ac:dyDescent="0.25">
      <c r="A292" t="s">
        <v>20</v>
      </c>
      <c r="B292" s="1" t="s">
        <v>67</v>
      </c>
      <c r="C292">
        <v>26796</v>
      </c>
      <c r="D292">
        <v>85.54</v>
      </c>
      <c r="E292">
        <v>370437</v>
      </c>
      <c r="F292">
        <v>49668.959999999999</v>
      </c>
      <c r="G292">
        <v>131665210</v>
      </c>
      <c r="H292" t="str">
        <f>IF(AND(Fact_Financials_Master[[#This Row],[Year_Quarter]]&gt;="2020-Q2", Fact_Financials_Master[[#This Row],[Year_Quarter]]&lt;="2021-Q2"), "CARES_Period", "Normal_Period")</f>
        <v>Normal_Period</v>
      </c>
    </row>
    <row r="293" spans="1:8" x14ac:dyDescent="0.25">
      <c r="A293" t="s">
        <v>46</v>
      </c>
      <c r="B293" s="1" t="s">
        <v>60</v>
      </c>
      <c r="C293">
        <v>85555</v>
      </c>
      <c r="D293">
        <v>88.326666666666668</v>
      </c>
      <c r="E293">
        <v>754607</v>
      </c>
      <c r="F293">
        <v>123547.81</v>
      </c>
      <c r="G293">
        <v>133194830</v>
      </c>
      <c r="H293" t="str">
        <f>IF(AND(Fact_Financials_Master[[#This Row],[Year_Quarter]]&gt;="2020-Q2", Fact_Financials_Master[[#This Row],[Year_Quarter]]&lt;="2021-Q2"), "CARES_Period", "Normal_Period")</f>
        <v>Normal_Period</v>
      </c>
    </row>
    <row r="294" spans="1:8" x14ac:dyDescent="0.25">
      <c r="A294" t="s">
        <v>20</v>
      </c>
      <c r="B294" s="1" t="s">
        <v>64</v>
      </c>
      <c r="C294">
        <v>58528</v>
      </c>
      <c r="D294">
        <v>76.97</v>
      </c>
      <c r="E294">
        <v>4084086</v>
      </c>
      <c r="F294">
        <v>70187</v>
      </c>
      <c r="G294">
        <v>1405425187</v>
      </c>
      <c r="H294" t="str">
        <f>IF(AND(Fact_Financials_Master[[#This Row],[Year_Quarter]]&gt;="2020-Q2", Fact_Financials_Master[[#This Row],[Year_Quarter]]&lt;="2021-Q2"), "CARES_Period", "Normal_Period")</f>
        <v>Normal_Period</v>
      </c>
    </row>
    <row r="295" spans="1:8" x14ac:dyDescent="0.25">
      <c r="A295" t="s">
        <v>47</v>
      </c>
      <c r="B295" s="1" t="s">
        <v>60</v>
      </c>
      <c r="C295">
        <v>50692</v>
      </c>
      <c r="D295">
        <v>85.596666666666664</v>
      </c>
      <c r="E295">
        <v>707765</v>
      </c>
      <c r="F295">
        <v>70671.360000000001</v>
      </c>
      <c r="G295">
        <v>131769461</v>
      </c>
      <c r="H295" t="str">
        <f>IF(AND(Fact_Financials_Master[[#This Row],[Year_Quarter]]&gt;="2020-Q2", Fact_Financials_Master[[#This Row],[Year_Quarter]]&lt;="2021-Q2"), "CARES_Period", "Normal_Period")</f>
        <v>Normal_Period</v>
      </c>
    </row>
    <row r="296" spans="1:8" x14ac:dyDescent="0.25">
      <c r="A296" t="s">
        <v>21</v>
      </c>
      <c r="B296" s="1" t="s">
        <v>66</v>
      </c>
      <c r="C296">
        <v>102209</v>
      </c>
      <c r="D296">
        <v>86.67</v>
      </c>
      <c r="E296">
        <v>1255011</v>
      </c>
      <c r="F296">
        <v>189469</v>
      </c>
      <c r="G296">
        <v>319996680</v>
      </c>
      <c r="H296" t="str">
        <f>IF(AND(Fact_Financials_Master[[#This Row],[Year_Quarter]]&gt;="2020-Q2", Fact_Financials_Master[[#This Row],[Year_Quarter]]&lt;="2021-Q2"), "CARES_Period", "Normal_Period")</f>
        <v>Normal_Period</v>
      </c>
    </row>
    <row r="297" spans="1:8" x14ac:dyDescent="0.25">
      <c r="A297" t="s">
        <v>48</v>
      </c>
      <c r="B297" s="1" t="s">
        <v>60</v>
      </c>
      <c r="C297">
        <v>-142438</v>
      </c>
      <c r="D297">
        <v>73.256666666666661</v>
      </c>
      <c r="E297">
        <v>559162</v>
      </c>
      <c r="F297">
        <v>-58680.979999999996</v>
      </c>
      <c r="G297">
        <v>109070094</v>
      </c>
      <c r="H297" t="str">
        <f>IF(AND(Fact_Financials_Master[[#This Row],[Year_Quarter]]&gt;="2020-Q2", Fact_Financials_Master[[#This Row],[Year_Quarter]]&lt;="2021-Q2"), "CARES_Period", "Normal_Period")</f>
        <v>Normal_Period</v>
      </c>
    </row>
    <row r="298" spans="1:8" x14ac:dyDescent="0.25">
      <c r="A298" t="s">
        <v>21</v>
      </c>
      <c r="B298" s="1" t="s">
        <v>65</v>
      </c>
      <c r="C298">
        <v>36352</v>
      </c>
      <c r="D298">
        <v>85.073333333333338</v>
      </c>
      <c r="E298">
        <v>1334450</v>
      </c>
      <c r="F298">
        <v>93258.48</v>
      </c>
      <c r="G298">
        <v>464952967</v>
      </c>
      <c r="H298" t="str">
        <f>IF(AND(Fact_Financials_Master[[#This Row],[Year_Quarter]]&gt;="2020-Q2", Fact_Financials_Master[[#This Row],[Year_Quarter]]&lt;="2021-Q2"), "CARES_Period", "Normal_Period")</f>
        <v>Normal_Period</v>
      </c>
    </row>
    <row r="299" spans="1:8" x14ac:dyDescent="0.25">
      <c r="A299" t="s">
        <v>53</v>
      </c>
      <c r="B299" s="1" t="s">
        <v>60</v>
      </c>
      <c r="C299">
        <v>-1192</v>
      </c>
      <c r="D299">
        <v>80.260000000000005</v>
      </c>
      <c r="E299">
        <v>410021</v>
      </c>
      <c r="F299">
        <v>-67047.540000000008</v>
      </c>
      <c r="G299">
        <v>79194182</v>
      </c>
      <c r="H299" t="str">
        <f>IF(AND(Fact_Financials_Master[[#This Row],[Year_Quarter]]&gt;="2020-Q2", Fact_Financials_Master[[#This Row],[Year_Quarter]]&lt;="2021-Q2"), "CARES_Period", "Normal_Period")</f>
        <v>CARES_Period</v>
      </c>
    </row>
    <row r="300" spans="1:8" x14ac:dyDescent="0.25">
      <c r="A300" t="s">
        <v>21</v>
      </c>
      <c r="B300" s="1" t="s">
        <v>62</v>
      </c>
      <c r="C300">
        <v>688701</v>
      </c>
      <c r="D300">
        <v>86.226666666666659</v>
      </c>
      <c r="E300">
        <v>9715984</v>
      </c>
      <c r="F300">
        <v>948977</v>
      </c>
      <c r="G300">
        <v>2470906128</v>
      </c>
      <c r="H300" t="str">
        <f>IF(AND(Fact_Financials_Master[[#This Row],[Year_Quarter]]&gt;="2020-Q2", Fact_Financials_Master[[#This Row],[Year_Quarter]]&lt;="2021-Q2"), "CARES_Period", "Normal_Period")</f>
        <v>Normal_Period</v>
      </c>
    </row>
    <row r="301" spans="1:8" x14ac:dyDescent="0.25">
      <c r="A301" t="s">
        <v>55</v>
      </c>
      <c r="B301" s="1" t="s">
        <v>65</v>
      </c>
      <c r="C301">
        <v>-129060</v>
      </c>
      <c r="D301">
        <v>80.153333333333336</v>
      </c>
      <c r="E301">
        <v>1834112</v>
      </c>
      <c r="F301">
        <v>-121522.17</v>
      </c>
      <c r="G301">
        <v>461913641</v>
      </c>
      <c r="H301" t="str">
        <f>IF(AND(Fact_Financials_Master[[#This Row],[Year_Quarter]]&gt;="2020-Q2", Fact_Financials_Master[[#This Row],[Year_Quarter]]&lt;="2021-Q2"), "CARES_Period", "Normal_Period")</f>
        <v>Normal_Period</v>
      </c>
    </row>
    <row r="302" spans="1:8" x14ac:dyDescent="0.25">
      <c r="A302" t="s">
        <v>21</v>
      </c>
      <c r="B302" s="1" t="s">
        <v>68</v>
      </c>
      <c r="C302">
        <v>3009</v>
      </c>
      <c r="D302">
        <v>91.39</v>
      </c>
      <c r="E302">
        <v>327672</v>
      </c>
      <c r="F302">
        <v>5692.91</v>
      </c>
      <c r="G302">
        <v>104395705</v>
      </c>
      <c r="H302" t="str">
        <f>IF(AND(Fact_Financials_Master[[#This Row],[Year_Quarter]]&gt;="2020-Q2", Fact_Financials_Master[[#This Row],[Year_Quarter]]&lt;="2021-Q2"), "CARES_Period", "Normal_Period")</f>
        <v>Normal_Period</v>
      </c>
    </row>
    <row r="303" spans="1:8" x14ac:dyDescent="0.25">
      <c r="A303" t="s">
        <v>54</v>
      </c>
      <c r="B303" s="1" t="s">
        <v>60</v>
      </c>
      <c r="C303">
        <v>16188</v>
      </c>
      <c r="D303">
        <v>78.303333333333327</v>
      </c>
      <c r="E303">
        <v>508019</v>
      </c>
      <c r="F303">
        <v>-33345.879999999997</v>
      </c>
      <c r="G303">
        <v>102545131</v>
      </c>
      <c r="H303" t="str">
        <f>IF(AND(Fact_Financials_Master[[#This Row],[Year_Quarter]]&gt;="2020-Q2", Fact_Financials_Master[[#This Row],[Year_Quarter]]&lt;="2021-Q2"), "CARES_Period", "Normal_Period")</f>
        <v>Normal_Period</v>
      </c>
    </row>
    <row r="304" spans="1:8" x14ac:dyDescent="0.25">
      <c r="A304" t="s">
        <v>21</v>
      </c>
      <c r="B304" s="1" t="s">
        <v>61</v>
      </c>
      <c r="C304">
        <v>35109</v>
      </c>
      <c r="D304">
        <v>89.46</v>
      </c>
      <c r="E304">
        <v>245123</v>
      </c>
      <c r="F304">
        <v>35424.6</v>
      </c>
      <c r="G304">
        <v>98465722</v>
      </c>
      <c r="H304" t="str">
        <f>IF(AND(Fact_Financials_Master[[#This Row],[Year_Quarter]]&gt;="2020-Q2", Fact_Financials_Master[[#This Row],[Year_Quarter]]&lt;="2021-Q2"), "CARES_Period", "Normal_Period")</f>
        <v>Normal_Period</v>
      </c>
    </row>
    <row r="305" spans="1:8" x14ac:dyDescent="0.25">
      <c r="A305" t="s">
        <v>55</v>
      </c>
      <c r="B305" s="1" t="s">
        <v>60</v>
      </c>
      <c r="C305">
        <v>-91065</v>
      </c>
      <c r="D305">
        <v>73.45</v>
      </c>
      <c r="E305">
        <v>493331</v>
      </c>
      <c r="F305">
        <v>-69723.75</v>
      </c>
      <c r="G305">
        <v>116031596</v>
      </c>
      <c r="H305" t="str">
        <f>IF(AND(Fact_Financials_Master[[#This Row],[Year_Quarter]]&gt;="2020-Q2", Fact_Financials_Master[[#This Row],[Year_Quarter]]&lt;="2021-Q2"), "CARES_Period", "Normal_Period")</f>
        <v>Normal_Period</v>
      </c>
    </row>
    <row r="306" spans="1:8" x14ac:dyDescent="0.25">
      <c r="A306" t="s">
        <v>49</v>
      </c>
      <c r="B306" s="1" t="s">
        <v>68</v>
      </c>
      <c r="C306">
        <v>17358</v>
      </c>
      <c r="D306">
        <v>44.84</v>
      </c>
      <c r="E306">
        <v>194261</v>
      </c>
      <c r="F306">
        <v>-80552.700000000012</v>
      </c>
      <c r="G306">
        <v>12766450</v>
      </c>
      <c r="H306" t="str">
        <f>IF(AND(Fact_Financials_Master[[#This Row],[Year_Quarter]]&gt;="2020-Q2", Fact_Financials_Master[[#This Row],[Year_Quarter]]&lt;="2021-Q2"), "CARES_Period", "Normal_Period")</f>
        <v>CARES_Period</v>
      </c>
    </row>
    <row r="307" spans="1:8" x14ac:dyDescent="0.25">
      <c r="A307" t="s">
        <v>21</v>
      </c>
      <c r="B307" s="1" t="s">
        <v>67</v>
      </c>
      <c r="C307">
        <v>41965</v>
      </c>
      <c r="D307">
        <v>86.743333333333339</v>
      </c>
      <c r="E307">
        <v>407339</v>
      </c>
      <c r="F307">
        <v>66757.16</v>
      </c>
      <c r="G307">
        <v>135252334</v>
      </c>
      <c r="H307" t="str">
        <f>IF(AND(Fact_Financials_Master[[#This Row],[Year_Quarter]]&gt;="2020-Q2", Fact_Financials_Master[[#This Row],[Year_Quarter]]&lt;="2021-Q2"), "CARES_Period", "Normal_Period")</f>
        <v>Normal_Period</v>
      </c>
    </row>
    <row r="308" spans="1:8" x14ac:dyDescent="0.25">
      <c r="A308" t="s">
        <v>57</v>
      </c>
      <c r="B308" s="1" t="s">
        <v>60</v>
      </c>
      <c r="C308">
        <v>-38415</v>
      </c>
      <c r="D308">
        <v>88.553333333333342</v>
      </c>
      <c r="E308">
        <v>689973</v>
      </c>
      <c r="F308">
        <v>-27263.199999999997</v>
      </c>
      <c r="G308">
        <v>217272261</v>
      </c>
      <c r="H308" t="str">
        <f>IF(AND(Fact_Financials_Master[[#This Row],[Year_Quarter]]&gt;="2020-Q2", Fact_Financials_Master[[#This Row],[Year_Quarter]]&lt;="2021-Q2"), "CARES_Period", "Normal_Period")</f>
        <v>Normal_Period</v>
      </c>
    </row>
    <row r="309" spans="1:8" x14ac:dyDescent="0.25">
      <c r="A309" t="s">
        <v>21</v>
      </c>
      <c r="B309" s="1" t="s">
        <v>63</v>
      </c>
      <c r="C309">
        <v>484017</v>
      </c>
      <c r="D309">
        <v>86.973333333333329</v>
      </c>
      <c r="E309">
        <v>10003024</v>
      </c>
      <c r="F309">
        <v>771078.03</v>
      </c>
      <c r="G309">
        <v>2379903938</v>
      </c>
      <c r="H309" t="str">
        <f>IF(AND(Fact_Financials_Master[[#This Row],[Year_Quarter]]&gt;="2020-Q2", Fact_Financials_Master[[#This Row],[Year_Quarter]]&lt;="2021-Q2"), "CARES_Period", "Normal_Period")</f>
        <v>Normal_Period</v>
      </c>
    </row>
    <row r="310" spans="1:8" x14ac:dyDescent="0.25">
      <c r="A310" t="s">
        <v>58</v>
      </c>
      <c r="B310" s="1" t="s">
        <v>60</v>
      </c>
      <c r="C310">
        <v>-2661</v>
      </c>
      <c r="D310">
        <v>87.843333333333334</v>
      </c>
      <c r="E310">
        <v>740429</v>
      </c>
      <c r="F310">
        <v>3681.4799999999996</v>
      </c>
      <c r="G310">
        <v>218359689</v>
      </c>
      <c r="H310" t="str">
        <f>IF(AND(Fact_Financials_Master[[#This Row],[Year_Quarter]]&gt;="2020-Q2", Fact_Financials_Master[[#This Row],[Year_Quarter]]&lt;="2021-Q2"), "CARES_Period", "Normal_Period")</f>
        <v>Normal_Period</v>
      </c>
    </row>
    <row r="311" spans="1:8" x14ac:dyDescent="0.25">
      <c r="A311" t="s">
        <v>21</v>
      </c>
      <c r="B311" s="1" t="s">
        <v>64</v>
      </c>
      <c r="C311">
        <v>224025</v>
      </c>
      <c r="D311">
        <v>81.486666666666665</v>
      </c>
      <c r="E311">
        <v>4642505</v>
      </c>
      <c r="F311">
        <v>432731</v>
      </c>
      <c r="G311">
        <v>1413160201</v>
      </c>
      <c r="H311" t="str">
        <f>IF(AND(Fact_Financials_Master[[#This Row],[Year_Quarter]]&gt;="2020-Q2", Fact_Financials_Master[[#This Row],[Year_Quarter]]&lt;="2021-Q2"), "CARES_Period", "Normal_Period")</f>
        <v>Normal_Period</v>
      </c>
    </row>
    <row r="312" spans="1:8" x14ac:dyDescent="0.25">
      <c r="A312" t="s">
        <v>47</v>
      </c>
      <c r="B312" s="1" t="s">
        <v>63</v>
      </c>
      <c r="C312">
        <v>642351</v>
      </c>
      <c r="D312">
        <v>84.126666666666665</v>
      </c>
      <c r="E312">
        <v>10887402</v>
      </c>
      <c r="F312">
        <v>861703.3600000001</v>
      </c>
      <c r="G312">
        <v>1745972023</v>
      </c>
      <c r="H312" t="str">
        <f>IF(AND(Fact_Financials_Master[[#This Row],[Year_Quarter]]&gt;="2020-Q2", Fact_Financials_Master[[#This Row],[Year_Quarter]]&lt;="2021-Q2"), "CARES_Period", "Normal_Period")</f>
        <v>Normal_Period</v>
      </c>
    </row>
    <row r="313" spans="1:8" x14ac:dyDescent="0.25">
      <c r="A313" t="s">
        <v>59</v>
      </c>
      <c r="B313" s="1" t="s">
        <v>60</v>
      </c>
      <c r="C313">
        <v>-49096</v>
      </c>
      <c r="D313">
        <v>85.75333333333333</v>
      </c>
      <c r="E313">
        <v>729398</v>
      </c>
      <c r="F313">
        <v>-18279.23</v>
      </c>
      <c r="G313">
        <v>205303799</v>
      </c>
      <c r="H313" t="str">
        <f>IF(AND(Fact_Financials_Master[[#This Row],[Year_Quarter]]&gt;="2020-Q2", Fact_Financials_Master[[#This Row],[Year_Quarter]]&lt;="2021-Q2"), "CARES_Period", "Normal_Period")</f>
        <v>Normal_Period</v>
      </c>
    </row>
    <row r="314" spans="1:8" x14ac:dyDescent="0.25">
      <c r="A314" t="s">
        <v>22</v>
      </c>
      <c r="B314" s="1" t="s">
        <v>66</v>
      </c>
      <c r="C314">
        <v>285315</v>
      </c>
      <c r="D314">
        <v>86.383333333333326</v>
      </c>
      <c r="E314">
        <v>1555316</v>
      </c>
      <c r="F314">
        <v>453766</v>
      </c>
      <c r="G314">
        <v>343697145</v>
      </c>
      <c r="H314" t="str">
        <f>IF(AND(Fact_Financials_Master[[#This Row],[Year_Quarter]]&gt;="2020-Q2", Fact_Financials_Master[[#This Row],[Year_Quarter]]&lt;="2021-Q2"), "CARES_Period", "Normal_Period")</f>
        <v>Normal_Period</v>
      </c>
    </row>
    <row r="315" spans="1:8" x14ac:dyDescent="0.25">
      <c r="A315" t="s">
        <v>54</v>
      </c>
      <c r="B315" s="1" t="s">
        <v>63</v>
      </c>
      <c r="C315">
        <v>473256</v>
      </c>
      <c r="D315">
        <v>82.473333333333329</v>
      </c>
      <c r="E315">
        <v>7749962</v>
      </c>
      <c r="F315">
        <v>-95376.360000000015</v>
      </c>
      <c r="G315">
        <v>1271458446</v>
      </c>
      <c r="H315" t="str">
        <f>IF(AND(Fact_Financials_Master[[#This Row],[Year_Quarter]]&gt;="2020-Q2", Fact_Financials_Master[[#This Row],[Year_Quarter]]&lt;="2021-Q2"), "CARES_Period", "Normal_Period")</f>
        <v>Normal_Period</v>
      </c>
    </row>
    <row r="316" spans="1:8" x14ac:dyDescent="0.25">
      <c r="A316" t="s">
        <v>22</v>
      </c>
      <c r="B316" s="1" t="s">
        <v>65</v>
      </c>
      <c r="C316">
        <v>70761</v>
      </c>
      <c r="D316">
        <v>85.076666666666668</v>
      </c>
      <c r="E316">
        <v>1442616</v>
      </c>
      <c r="F316">
        <v>151694.70000000001</v>
      </c>
      <c r="G316">
        <v>500868249</v>
      </c>
      <c r="H316" t="str">
        <f>IF(AND(Fact_Financials_Master[[#This Row],[Year_Quarter]]&gt;="2020-Q2", Fact_Financials_Master[[#This Row],[Year_Quarter]]&lt;="2021-Q2"), "CARES_Period", "Normal_Period")</f>
        <v>Normal_Period</v>
      </c>
    </row>
    <row r="317" spans="1:8" x14ac:dyDescent="0.25">
      <c r="A317" t="s">
        <v>22</v>
      </c>
      <c r="B317" s="1" t="s">
        <v>62</v>
      </c>
      <c r="C317">
        <v>1371648</v>
      </c>
      <c r="D317">
        <v>85.72</v>
      </c>
      <c r="E317">
        <v>10506964</v>
      </c>
      <c r="F317">
        <v>1696529</v>
      </c>
      <c r="G317">
        <v>2576900527</v>
      </c>
      <c r="H317" t="str">
        <f>IF(AND(Fact_Financials_Master[[#This Row],[Year_Quarter]]&gt;="2020-Q2", Fact_Financials_Master[[#This Row],[Year_Quarter]]&lt;="2021-Q2"), "CARES_Period", "Normal_Period")</f>
        <v>Normal_Period</v>
      </c>
    </row>
    <row r="318" spans="1:8" x14ac:dyDescent="0.25">
      <c r="A318" t="s">
        <v>22</v>
      </c>
      <c r="B318" s="1" t="s">
        <v>68</v>
      </c>
      <c r="C318">
        <v>23450</v>
      </c>
      <c r="D318">
        <v>93.663333333333341</v>
      </c>
      <c r="E318">
        <v>372432</v>
      </c>
      <c r="F318">
        <v>38801.619999999995</v>
      </c>
      <c r="G318">
        <v>113436214</v>
      </c>
      <c r="H318" t="str">
        <f>IF(AND(Fact_Financials_Master[[#This Row],[Year_Quarter]]&gt;="2020-Q2", Fact_Financials_Master[[#This Row],[Year_Quarter]]&lt;="2021-Q2"), "CARES_Period", "Normal_Period")</f>
        <v>Normal_Period</v>
      </c>
    </row>
    <row r="319" spans="1:8" x14ac:dyDescent="0.25">
      <c r="A319" t="s">
        <v>22</v>
      </c>
      <c r="B319" s="1" t="s">
        <v>61</v>
      </c>
      <c r="C319">
        <v>24310</v>
      </c>
      <c r="D319">
        <v>90.2</v>
      </c>
      <c r="E319">
        <v>220014</v>
      </c>
      <c r="F319">
        <v>24535.16</v>
      </c>
      <c r="G319">
        <v>91287159</v>
      </c>
      <c r="H319" t="str">
        <f>IF(AND(Fact_Financials_Master[[#This Row],[Year_Quarter]]&gt;="2020-Q2", Fact_Financials_Master[[#This Row],[Year_Quarter]]&lt;="2021-Q2"), "CARES_Period", "Normal_Period")</f>
        <v>Normal_Period</v>
      </c>
    </row>
    <row r="320" spans="1:8" x14ac:dyDescent="0.25">
      <c r="A320" t="s">
        <v>22</v>
      </c>
      <c r="B320" s="1" t="s">
        <v>67</v>
      </c>
      <c r="C320">
        <v>54381</v>
      </c>
      <c r="D320">
        <v>89.67</v>
      </c>
      <c r="E320">
        <v>456625</v>
      </c>
      <c r="F320">
        <v>97803.520000000004</v>
      </c>
      <c r="G320">
        <v>144985935</v>
      </c>
      <c r="H320" t="str">
        <f>IF(AND(Fact_Financials_Master[[#This Row],[Year_Quarter]]&gt;="2020-Q2", Fact_Financials_Master[[#This Row],[Year_Quarter]]&lt;="2021-Q2"), "CARES_Period", "Normal_Period")</f>
        <v>Normal_Period</v>
      </c>
    </row>
    <row r="321" spans="1:8" x14ac:dyDescent="0.25">
      <c r="A321" t="s">
        <v>52</v>
      </c>
      <c r="B321" s="1" t="s">
        <v>61</v>
      </c>
      <c r="C321">
        <v>9309</v>
      </c>
      <c r="D321">
        <v>55.833333333333336</v>
      </c>
      <c r="E321">
        <v>263786</v>
      </c>
      <c r="F321">
        <v>-74731.03</v>
      </c>
      <c r="G321">
        <v>82741324</v>
      </c>
      <c r="H321" t="str">
        <f>IF(AND(Fact_Financials_Master[[#This Row],[Year_Quarter]]&gt;="2020-Q2", Fact_Financials_Master[[#This Row],[Year_Quarter]]&lt;="2021-Q2"), "CARES_Period", "Normal_Period")</f>
        <v>CARES_Period</v>
      </c>
    </row>
    <row r="322" spans="1:8" x14ac:dyDescent="0.25">
      <c r="A322" t="s">
        <v>22</v>
      </c>
      <c r="B322" s="1" t="s">
        <v>63</v>
      </c>
      <c r="C322">
        <v>377383</v>
      </c>
      <c r="D322">
        <v>86.929999999999993</v>
      </c>
      <c r="E322">
        <v>10229894</v>
      </c>
      <c r="F322">
        <v>510368.66000000003</v>
      </c>
      <c r="G322">
        <v>2542395357</v>
      </c>
      <c r="H322" t="str">
        <f>IF(AND(Fact_Financials_Master[[#This Row],[Year_Quarter]]&gt;="2020-Q2", Fact_Financials_Master[[#This Row],[Year_Quarter]]&lt;="2021-Q2"), "CARES_Period", "Normal_Period")</f>
        <v>Normal_Period</v>
      </c>
    </row>
    <row r="323" spans="1:8" x14ac:dyDescent="0.25">
      <c r="A323" t="s">
        <v>22</v>
      </c>
      <c r="B323" s="1" t="s">
        <v>64</v>
      </c>
      <c r="C323">
        <v>259422</v>
      </c>
      <c r="D323">
        <v>80.806666666666672</v>
      </c>
      <c r="E323">
        <v>4544691</v>
      </c>
      <c r="F323">
        <v>389727</v>
      </c>
      <c r="G323">
        <v>1394509008</v>
      </c>
      <c r="H323" t="str">
        <f>IF(AND(Fact_Financials_Master[[#This Row],[Year_Quarter]]&gt;="2020-Q2", Fact_Financials_Master[[#This Row],[Year_Quarter]]&lt;="2021-Q2"), "CARES_Period", "Normal_Period")</f>
        <v>Normal_Period</v>
      </c>
    </row>
    <row r="324" spans="1:8" x14ac:dyDescent="0.25">
      <c r="A324" t="s">
        <v>23</v>
      </c>
      <c r="B324" s="1" t="s">
        <v>66</v>
      </c>
      <c r="C324">
        <v>75910</v>
      </c>
      <c r="D324">
        <v>84.53</v>
      </c>
      <c r="E324">
        <v>1208848</v>
      </c>
      <c r="F324">
        <v>131315</v>
      </c>
      <c r="G324">
        <v>318578701</v>
      </c>
      <c r="H324" t="str">
        <f>IF(AND(Fact_Financials_Master[[#This Row],[Year_Quarter]]&gt;="2020-Q2", Fact_Financials_Master[[#This Row],[Year_Quarter]]&lt;="2021-Q2"), "CARES_Period", "Normal_Period")</f>
        <v>Normal_Period</v>
      </c>
    </row>
    <row r="325" spans="1:8" x14ac:dyDescent="0.25">
      <c r="A325" t="s">
        <v>23</v>
      </c>
      <c r="B325" s="1" t="s">
        <v>65</v>
      </c>
      <c r="C325">
        <v>47014</v>
      </c>
      <c r="D325">
        <v>81.466666666666669</v>
      </c>
      <c r="E325">
        <v>1365820</v>
      </c>
      <c r="F325">
        <v>110738.97</v>
      </c>
      <c r="G325">
        <v>465829878</v>
      </c>
      <c r="H325" t="str">
        <f>IF(AND(Fact_Financials_Master[[#This Row],[Year_Quarter]]&gt;="2020-Q2", Fact_Financials_Master[[#This Row],[Year_Quarter]]&lt;="2021-Q2"), "CARES_Period", "Normal_Period")</f>
        <v>Normal_Period</v>
      </c>
    </row>
    <row r="326" spans="1:8" x14ac:dyDescent="0.25">
      <c r="A326" t="s">
        <v>23</v>
      </c>
      <c r="B326" s="1" t="s">
        <v>62</v>
      </c>
      <c r="C326">
        <v>8482125</v>
      </c>
      <c r="D326">
        <v>83.393333333333331</v>
      </c>
      <c r="E326">
        <v>9086090</v>
      </c>
      <c r="F326">
        <v>869555</v>
      </c>
      <c r="G326">
        <v>2313937973</v>
      </c>
      <c r="H326" t="str">
        <f>IF(AND(Fact_Financials_Master[[#This Row],[Year_Quarter]]&gt;="2020-Q2", Fact_Financials_Master[[#This Row],[Year_Quarter]]&lt;="2021-Q2"), "CARES_Period", "Normal_Period")</f>
        <v>Normal_Period</v>
      </c>
    </row>
    <row r="327" spans="1:8" x14ac:dyDescent="0.25">
      <c r="A327" t="s">
        <v>23</v>
      </c>
      <c r="B327" s="1" t="s">
        <v>68</v>
      </c>
      <c r="C327">
        <v>2529</v>
      </c>
      <c r="D327">
        <v>91.88666666666667</v>
      </c>
      <c r="E327">
        <v>337582</v>
      </c>
      <c r="F327">
        <v>4995.1200000000008</v>
      </c>
      <c r="G327">
        <v>106341111</v>
      </c>
      <c r="H327" t="str">
        <f>IF(AND(Fact_Financials_Master[[#This Row],[Year_Quarter]]&gt;="2020-Q2", Fact_Financials_Master[[#This Row],[Year_Quarter]]&lt;="2021-Q2"), "CARES_Period", "Normal_Period")</f>
        <v>Normal_Period</v>
      </c>
    </row>
    <row r="328" spans="1:8" x14ac:dyDescent="0.25">
      <c r="A328" t="s">
        <v>23</v>
      </c>
      <c r="B328" s="1" t="s">
        <v>61</v>
      </c>
      <c r="C328">
        <v>26140</v>
      </c>
      <c r="D328">
        <v>85.473333333333329</v>
      </c>
      <c r="E328">
        <v>231148</v>
      </c>
      <c r="F328">
        <v>26940.89</v>
      </c>
      <c r="G328">
        <v>92304494</v>
      </c>
      <c r="H328" t="str">
        <f>IF(AND(Fact_Financials_Master[[#This Row],[Year_Quarter]]&gt;="2020-Q2", Fact_Financials_Master[[#This Row],[Year_Quarter]]&lt;="2021-Q2"), "CARES_Period", "Normal_Period")</f>
        <v>Normal_Period</v>
      </c>
    </row>
    <row r="329" spans="1:8" x14ac:dyDescent="0.25">
      <c r="A329" t="s">
        <v>55</v>
      </c>
      <c r="B329" s="1" t="s">
        <v>68</v>
      </c>
      <c r="C329">
        <v>-53155</v>
      </c>
      <c r="D329">
        <v>75.783333333333331</v>
      </c>
      <c r="E329">
        <v>609619</v>
      </c>
      <c r="F329">
        <v>-85133.06</v>
      </c>
      <c r="G329">
        <v>170178202</v>
      </c>
      <c r="H329" t="str">
        <f>IF(AND(Fact_Financials_Master[[#This Row],[Year_Quarter]]&gt;="2020-Q2", Fact_Financials_Master[[#This Row],[Year_Quarter]]&lt;="2021-Q2"), "CARES_Period", "Normal_Period")</f>
        <v>Normal_Period</v>
      </c>
    </row>
    <row r="330" spans="1:8" x14ac:dyDescent="0.25">
      <c r="A330" t="s">
        <v>23</v>
      </c>
      <c r="B330" s="1" t="s">
        <v>67</v>
      </c>
      <c r="C330">
        <v>43193</v>
      </c>
      <c r="D330">
        <v>86.616666666666674</v>
      </c>
      <c r="E330">
        <v>419984</v>
      </c>
      <c r="F330">
        <v>68060.42</v>
      </c>
      <c r="G330">
        <v>139843111</v>
      </c>
      <c r="H330" t="str">
        <f>IF(AND(Fact_Financials_Master[[#This Row],[Year_Quarter]]&gt;="2020-Q2", Fact_Financials_Master[[#This Row],[Year_Quarter]]&lt;="2021-Q2"), "CARES_Period", "Normal_Period")</f>
        <v>Normal_Period</v>
      </c>
    </row>
    <row r="331" spans="1:8" x14ac:dyDescent="0.25">
      <c r="A331" t="s">
        <v>23</v>
      </c>
      <c r="B331" s="1" t="s">
        <v>63</v>
      </c>
      <c r="C331">
        <v>154178</v>
      </c>
      <c r="D331">
        <v>84.88666666666667</v>
      </c>
      <c r="E331">
        <v>9331106</v>
      </c>
      <c r="F331">
        <v>237517.57</v>
      </c>
      <c r="G331">
        <v>2315544496</v>
      </c>
      <c r="H331" t="str">
        <f>IF(AND(Fact_Financials_Master[[#This Row],[Year_Quarter]]&gt;="2020-Q2", Fact_Financials_Master[[#This Row],[Year_Quarter]]&lt;="2021-Q2"), "CARES_Period", "Normal_Period")</f>
        <v>Normal_Period</v>
      </c>
    </row>
    <row r="332" spans="1:8" x14ac:dyDescent="0.25">
      <c r="A332" t="s">
        <v>54</v>
      </c>
      <c r="B332" s="1" t="s">
        <v>67</v>
      </c>
      <c r="C332">
        <v>14774</v>
      </c>
      <c r="D332">
        <v>77.896666666666661</v>
      </c>
      <c r="E332">
        <v>922631</v>
      </c>
      <c r="F332">
        <v>-72364.19</v>
      </c>
      <c r="G332">
        <v>259617615</v>
      </c>
      <c r="H332" t="str">
        <f>IF(AND(Fact_Financials_Master[[#This Row],[Year_Quarter]]&gt;="2020-Q2", Fact_Financials_Master[[#This Row],[Year_Quarter]]&lt;="2021-Q2"), "CARES_Period", "Normal_Period")</f>
        <v>Normal_Period</v>
      </c>
    </row>
    <row r="333" spans="1:8" x14ac:dyDescent="0.25">
      <c r="A333" t="s">
        <v>23</v>
      </c>
      <c r="B333" s="1" t="s">
        <v>64</v>
      </c>
      <c r="C333">
        <v>212494</v>
      </c>
      <c r="D333">
        <v>80.39</v>
      </c>
      <c r="E333">
        <v>4428152</v>
      </c>
      <c r="F333">
        <v>385606</v>
      </c>
      <c r="G333">
        <v>1313891559</v>
      </c>
      <c r="H333" t="str">
        <f>IF(AND(Fact_Financials_Master[[#This Row],[Year_Quarter]]&gt;="2020-Q2", Fact_Financials_Master[[#This Row],[Year_Quarter]]&lt;="2021-Q2"), "CARES_Period", "Normal_Period")</f>
        <v>Normal_Period</v>
      </c>
    </row>
    <row r="334" spans="1:8" x14ac:dyDescent="0.25">
      <c r="A334" t="s">
        <v>24</v>
      </c>
      <c r="B334" s="1" t="s">
        <v>66</v>
      </c>
      <c r="C334">
        <v>93305</v>
      </c>
      <c r="D334">
        <v>85.106666666666669</v>
      </c>
      <c r="E334">
        <v>1221373</v>
      </c>
      <c r="F334">
        <v>146844</v>
      </c>
      <c r="G334">
        <v>318062669</v>
      </c>
      <c r="H334" t="str">
        <f>IF(AND(Fact_Financials_Master[[#This Row],[Year_Quarter]]&gt;="2020-Q2", Fact_Financials_Master[[#This Row],[Year_Quarter]]&lt;="2021-Q2"), "CARES_Period", "Normal_Period")</f>
        <v>Normal_Period</v>
      </c>
    </row>
    <row r="335" spans="1:8" x14ac:dyDescent="0.25">
      <c r="A335" t="s">
        <v>24</v>
      </c>
      <c r="B335" s="1" t="s">
        <v>65</v>
      </c>
      <c r="C335">
        <v>-1200</v>
      </c>
      <c r="D335">
        <v>83.603333333333325</v>
      </c>
      <c r="E335">
        <v>1348787</v>
      </c>
      <c r="F335">
        <v>43411.23</v>
      </c>
      <c r="G335">
        <v>463849694</v>
      </c>
      <c r="H335" t="str">
        <f>IF(AND(Fact_Financials_Master[[#This Row],[Year_Quarter]]&gt;="2020-Q2", Fact_Financials_Master[[#This Row],[Year_Quarter]]&lt;="2021-Q2"), "CARES_Period", "Normal_Period")</f>
        <v>Normal_Period</v>
      </c>
    </row>
    <row r="336" spans="1:8" x14ac:dyDescent="0.25">
      <c r="A336" t="s">
        <v>53</v>
      </c>
      <c r="B336" s="1" t="s">
        <v>68</v>
      </c>
      <c r="C336">
        <v>18777</v>
      </c>
      <c r="D336">
        <v>80.073333333333338</v>
      </c>
      <c r="E336">
        <v>549354</v>
      </c>
      <c r="F336">
        <v>-64128.369999999995</v>
      </c>
      <c r="G336">
        <v>122504027</v>
      </c>
      <c r="H336" t="str">
        <f>IF(AND(Fact_Financials_Master[[#This Row],[Year_Quarter]]&gt;="2020-Q2", Fact_Financials_Master[[#This Row],[Year_Quarter]]&lt;="2021-Q2"), "CARES_Period", "Normal_Period")</f>
        <v>CARES_Period</v>
      </c>
    </row>
    <row r="337" spans="1:8" x14ac:dyDescent="0.25">
      <c r="A337" t="s">
        <v>24</v>
      </c>
      <c r="B337" s="1" t="s">
        <v>62</v>
      </c>
      <c r="C337">
        <v>218132</v>
      </c>
      <c r="D337">
        <v>84.973333333333329</v>
      </c>
      <c r="E337">
        <v>8927524</v>
      </c>
      <c r="F337">
        <v>671904</v>
      </c>
      <c r="G337">
        <v>2191198459</v>
      </c>
      <c r="H337" t="str">
        <f>IF(AND(Fact_Financials_Master[[#This Row],[Year_Quarter]]&gt;="2020-Q2", Fact_Financials_Master[[#This Row],[Year_Quarter]]&lt;="2021-Q2"), "CARES_Period", "Normal_Period")</f>
        <v>Normal_Period</v>
      </c>
    </row>
    <row r="338" spans="1:8" x14ac:dyDescent="0.25">
      <c r="A338" t="s">
        <v>24</v>
      </c>
      <c r="B338" s="1" t="s">
        <v>68</v>
      </c>
      <c r="C338">
        <v>10156</v>
      </c>
      <c r="D338">
        <v>88.086666666666673</v>
      </c>
      <c r="E338">
        <v>328419</v>
      </c>
      <c r="F338">
        <v>17629.46</v>
      </c>
      <c r="G338">
        <v>110701810</v>
      </c>
      <c r="H338" t="str">
        <f>IF(AND(Fact_Financials_Master[[#This Row],[Year_Quarter]]&gt;="2020-Q2", Fact_Financials_Master[[#This Row],[Year_Quarter]]&lt;="2021-Q2"), "CARES_Period", "Normal_Period")</f>
        <v>Normal_Period</v>
      </c>
    </row>
    <row r="339" spans="1:8" x14ac:dyDescent="0.25">
      <c r="A339" t="s">
        <v>40</v>
      </c>
      <c r="B339" s="1" t="s">
        <v>63</v>
      </c>
      <c r="C339">
        <v>147098</v>
      </c>
      <c r="D339">
        <v>83.186666666666667</v>
      </c>
      <c r="E339">
        <v>9031936</v>
      </c>
      <c r="F339">
        <v>276790.70999999996</v>
      </c>
      <c r="G339">
        <v>1533674101</v>
      </c>
      <c r="H339" t="str">
        <f>IF(AND(Fact_Financials_Master[[#This Row],[Year_Quarter]]&gt;="2020-Q2", Fact_Financials_Master[[#This Row],[Year_Quarter]]&lt;="2021-Q2"), "CARES_Period", "Normal_Period")</f>
        <v>Normal_Period</v>
      </c>
    </row>
    <row r="340" spans="1:8" x14ac:dyDescent="0.25">
      <c r="A340" t="s">
        <v>24</v>
      </c>
      <c r="B340" s="1" t="s">
        <v>61</v>
      </c>
      <c r="C340">
        <v>49528</v>
      </c>
      <c r="D340">
        <v>88.61</v>
      </c>
      <c r="E340">
        <v>291666</v>
      </c>
      <c r="F340">
        <v>50451.57</v>
      </c>
      <c r="G340">
        <v>110117277</v>
      </c>
      <c r="H340" t="str">
        <f>IF(AND(Fact_Financials_Master[[#This Row],[Year_Quarter]]&gt;="2020-Q2", Fact_Financials_Master[[#This Row],[Year_Quarter]]&lt;="2021-Q2"), "CARES_Period", "Normal_Period")</f>
        <v>Normal_Period</v>
      </c>
    </row>
    <row r="341" spans="1:8" x14ac:dyDescent="0.25">
      <c r="A341" t="s">
        <v>24</v>
      </c>
      <c r="B341" s="1" t="s">
        <v>67</v>
      </c>
      <c r="C341">
        <v>37706</v>
      </c>
      <c r="D341">
        <v>87.656666666666666</v>
      </c>
      <c r="E341">
        <v>437987</v>
      </c>
      <c r="F341">
        <v>59953.24</v>
      </c>
      <c r="G341">
        <v>148471694</v>
      </c>
      <c r="H341" t="str">
        <f>IF(AND(Fact_Financials_Master[[#This Row],[Year_Quarter]]&gt;="2020-Q2", Fact_Financials_Master[[#This Row],[Year_Quarter]]&lt;="2021-Q2"), "CARES_Period", "Normal_Period")</f>
        <v>Normal_Period</v>
      </c>
    </row>
    <row r="342" spans="1:8" x14ac:dyDescent="0.25">
      <c r="A342" t="s">
        <v>57</v>
      </c>
      <c r="B342" s="1" t="s">
        <v>65</v>
      </c>
      <c r="C342">
        <v>-188114</v>
      </c>
      <c r="D342">
        <v>86.566666666666663</v>
      </c>
      <c r="E342">
        <v>2444768</v>
      </c>
      <c r="F342">
        <v>-107306.14</v>
      </c>
      <c r="G342">
        <v>910333404</v>
      </c>
      <c r="H342" t="str">
        <f>IF(AND(Fact_Financials_Master[[#This Row],[Year_Quarter]]&gt;="2020-Q2", Fact_Financials_Master[[#This Row],[Year_Quarter]]&lt;="2021-Q2"), "CARES_Period", "Normal_Period")</f>
        <v>Normal_Period</v>
      </c>
    </row>
    <row r="343" spans="1:8" x14ac:dyDescent="0.25">
      <c r="A343" t="s">
        <v>24</v>
      </c>
      <c r="B343" s="1" t="s">
        <v>64</v>
      </c>
      <c r="C343">
        <v>152441</v>
      </c>
      <c r="D343">
        <v>79.056666666666672</v>
      </c>
      <c r="E343">
        <v>4166103</v>
      </c>
      <c r="F343">
        <v>215415</v>
      </c>
      <c r="G343">
        <v>1261236045</v>
      </c>
      <c r="H343" t="str">
        <f>IF(AND(Fact_Financials_Master[[#This Row],[Year_Quarter]]&gt;="2020-Q2", Fact_Financials_Master[[#This Row],[Year_Quarter]]&lt;="2021-Q2"), "CARES_Period", "Normal_Period")</f>
        <v>Normal_Period</v>
      </c>
    </row>
    <row r="344" spans="1:8" x14ac:dyDescent="0.25">
      <c r="A344" t="s">
        <v>54</v>
      </c>
      <c r="B344" s="1" t="s">
        <v>65</v>
      </c>
      <c r="C344">
        <v>129809</v>
      </c>
      <c r="D344">
        <v>80.789999999999992</v>
      </c>
      <c r="E344">
        <v>1971729</v>
      </c>
      <c r="F344">
        <v>394.13000000000466</v>
      </c>
      <c r="G344">
        <v>442554671</v>
      </c>
      <c r="H344" t="str">
        <f>IF(AND(Fact_Financials_Master[[#This Row],[Year_Quarter]]&gt;="2020-Q2", Fact_Financials_Master[[#This Row],[Year_Quarter]]&lt;="2021-Q2"), "CARES_Period", "Normal_Period")</f>
        <v>Normal_Period</v>
      </c>
    </row>
    <row r="345" spans="1:8" x14ac:dyDescent="0.25">
      <c r="A345" t="s">
        <v>25</v>
      </c>
      <c r="B345" s="1" t="s">
        <v>66</v>
      </c>
      <c r="C345">
        <v>166041</v>
      </c>
      <c r="D345">
        <v>86.67</v>
      </c>
      <c r="E345">
        <v>1373131</v>
      </c>
      <c r="F345">
        <v>257466</v>
      </c>
      <c r="G345">
        <v>337918454</v>
      </c>
      <c r="H345" t="str">
        <f>IF(AND(Fact_Financials_Master[[#This Row],[Year_Quarter]]&gt;="2020-Q2", Fact_Financials_Master[[#This Row],[Year_Quarter]]&lt;="2021-Q2"), "CARES_Period", "Normal_Period")</f>
        <v>Normal_Period</v>
      </c>
    </row>
    <row r="346" spans="1:8" x14ac:dyDescent="0.25">
      <c r="A346" t="s">
        <v>25</v>
      </c>
      <c r="B346" s="1" t="s">
        <v>65</v>
      </c>
      <c r="C346">
        <v>230641</v>
      </c>
      <c r="D346">
        <v>85.896666666666675</v>
      </c>
      <c r="E346">
        <v>1493704</v>
      </c>
      <c r="F346">
        <v>140501.99</v>
      </c>
      <c r="G346">
        <v>497257315</v>
      </c>
      <c r="H346" t="str">
        <f>IF(AND(Fact_Financials_Master[[#This Row],[Year_Quarter]]&gt;="2020-Q2", Fact_Financials_Master[[#This Row],[Year_Quarter]]&lt;="2021-Q2"), "CARES_Period", "Normal_Period")</f>
        <v>Normal_Period</v>
      </c>
    </row>
    <row r="347" spans="1:8" x14ac:dyDescent="0.25">
      <c r="A347" t="s">
        <v>25</v>
      </c>
      <c r="B347" s="1" t="s">
        <v>62</v>
      </c>
      <c r="C347">
        <v>807422</v>
      </c>
      <c r="D347">
        <v>88.493333333333339</v>
      </c>
      <c r="E347">
        <v>10639874</v>
      </c>
      <c r="F347">
        <v>1615666</v>
      </c>
      <c r="G347">
        <v>2435701598</v>
      </c>
      <c r="H347" t="str">
        <f>IF(AND(Fact_Financials_Master[[#This Row],[Year_Quarter]]&gt;="2020-Q2", Fact_Financials_Master[[#This Row],[Year_Quarter]]&lt;="2021-Q2"), "CARES_Period", "Normal_Period")</f>
        <v>Normal_Period</v>
      </c>
    </row>
    <row r="348" spans="1:8" x14ac:dyDescent="0.25">
      <c r="A348" t="s">
        <v>25</v>
      </c>
      <c r="B348" s="1" t="s">
        <v>68</v>
      </c>
      <c r="C348">
        <v>35124</v>
      </c>
      <c r="D348">
        <v>91.093333333333334</v>
      </c>
      <c r="E348">
        <v>392939</v>
      </c>
      <c r="F348">
        <v>57883.070000000007</v>
      </c>
      <c r="G348">
        <v>129776021</v>
      </c>
      <c r="H348" t="str">
        <f>IF(AND(Fact_Financials_Master[[#This Row],[Year_Quarter]]&gt;="2020-Q2", Fact_Financials_Master[[#This Row],[Year_Quarter]]&lt;="2021-Q2"), "CARES_Period", "Normal_Period")</f>
        <v>Normal_Period</v>
      </c>
    </row>
    <row r="349" spans="1:8" x14ac:dyDescent="0.25">
      <c r="A349" t="s">
        <v>32</v>
      </c>
      <c r="B349" s="1" t="s">
        <v>63</v>
      </c>
      <c r="C349">
        <v>313862</v>
      </c>
      <c r="D349">
        <v>83.42</v>
      </c>
      <c r="E349">
        <v>8195291</v>
      </c>
      <c r="F349">
        <v>649435.35</v>
      </c>
      <c r="G349">
        <v>817910673</v>
      </c>
      <c r="H349" t="str">
        <f>IF(AND(Fact_Financials_Master[[#This Row],[Year_Quarter]]&gt;="2020-Q2", Fact_Financials_Master[[#This Row],[Year_Quarter]]&lt;="2021-Q2"), "CARES_Period", "Normal_Period")</f>
        <v>Normal_Period</v>
      </c>
    </row>
    <row r="350" spans="1:8" x14ac:dyDescent="0.25">
      <c r="A350" t="s">
        <v>25</v>
      </c>
      <c r="B350" s="1" t="s">
        <v>61</v>
      </c>
      <c r="C350">
        <v>48559</v>
      </c>
      <c r="D350">
        <v>89.903333333333336</v>
      </c>
      <c r="E350">
        <v>280662</v>
      </c>
      <c r="F350">
        <v>50213.23</v>
      </c>
      <c r="G350">
        <v>105710555</v>
      </c>
      <c r="H350" t="str">
        <f>IF(AND(Fact_Financials_Master[[#This Row],[Year_Quarter]]&gt;="2020-Q2", Fact_Financials_Master[[#This Row],[Year_Quarter]]&lt;="2021-Q2"), "CARES_Period", "Normal_Period")</f>
        <v>Normal_Period</v>
      </c>
    </row>
    <row r="351" spans="1:8" x14ac:dyDescent="0.25">
      <c r="A351" t="s">
        <v>25</v>
      </c>
      <c r="B351" s="1" t="s">
        <v>67</v>
      </c>
      <c r="C351">
        <v>64849</v>
      </c>
      <c r="D351">
        <v>88.206666666666663</v>
      </c>
      <c r="E351">
        <v>499337</v>
      </c>
      <c r="F351">
        <v>105144.14</v>
      </c>
      <c r="G351">
        <v>154852089</v>
      </c>
      <c r="H351" t="str">
        <f>IF(AND(Fact_Financials_Master[[#This Row],[Year_Quarter]]&gt;="2020-Q2", Fact_Financials_Master[[#This Row],[Year_Quarter]]&lt;="2021-Q2"), "CARES_Period", "Normal_Period")</f>
        <v>Normal_Period</v>
      </c>
    </row>
    <row r="352" spans="1:8" x14ac:dyDescent="0.25">
      <c r="A352" t="s">
        <v>26</v>
      </c>
      <c r="B352" s="1" t="s">
        <v>61</v>
      </c>
      <c r="C352">
        <v>22627</v>
      </c>
      <c r="D352">
        <v>90.566666666666663</v>
      </c>
      <c r="E352">
        <v>256670</v>
      </c>
      <c r="F352">
        <v>25486.68</v>
      </c>
      <c r="G352">
        <v>96601069</v>
      </c>
      <c r="H352" t="str">
        <f>IF(AND(Fact_Financials_Master[[#This Row],[Year_Quarter]]&gt;="2020-Q2", Fact_Financials_Master[[#This Row],[Year_Quarter]]&lt;="2021-Q2"), "CARES_Period", "Normal_Period")</f>
        <v>Normal_Period</v>
      </c>
    </row>
    <row r="353" spans="1:8" x14ac:dyDescent="0.25">
      <c r="A353" t="s">
        <v>25</v>
      </c>
      <c r="B353" s="1" t="s">
        <v>63</v>
      </c>
      <c r="C353">
        <v>769231</v>
      </c>
      <c r="D353">
        <v>87.82</v>
      </c>
      <c r="E353">
        <v>10328256</v>
      </c>
      <c r="F353">
        <v>906073.08</v>
      </c>
      <c r="G353">
        <v>2441231402</v>
      </c>
      <c r="H353" t="str">
        <f>IF(AND(Fact_Financials_Master[[#This Row],[Year_Quarter]]&gt;="2020-Q2", Fact_Financials_Master[[#This Row],[Year_Quarter]]&lt;="2021-Q2"), "CARES_Period", "Normal_Period")</f>
        <v>Normal_Period</v>
      </c>
    </row>
    <row r="354" spans="1:8" x14ac:dyDescent="0.25">
      <c r="A354" t="s">
        <v>48</v>
      </c>
      <c r="B354" s="1" t="s">
        <v>67</v>
      </c>
      <c r="C354">
        <v>-27828</v>
      </c>
      <c r="D354">
        <v>71.13333333333334</v>
      </c>
      <c r="E354">
        <v>771081</v>
      </c>
      <c r="F354">
        <v>-57991.979999999996</v>
      </c>
      <c r="G354">
        <v>213207977</v>
      </c>
      <c r="H354" t="str">
        <f>IF(AND(Fact_Financials_Master[[#This Row],[Year_Quarter]]&gt;="2020-Q2", Fact_Financials_Master[[#This Row],[Year_Quarter]]&lt;="2021-Q2"), "CARES_Period", "Normal_Period")</f>
        <v>Normal_Period</v>
      </c>
    </row>
    <row r="355" spans="1:8" x14ac:dyDescent="0.25">
      <c r="A355" t="s">
        <v>25</v>
      </c>
      <c r="B355" s="1" t="s">
        <v>64</v>
      </c>
      <c r="C355">
        <v>464994</v>
      </c>
      <c r="D355">
        <v>83.803333333333327</v>
      </c>
      <c r="E355">
        <v>5011428</v>
      </c>
      <c r="F355">
        <v>775373</v>
      </c>
      <c r="G355">
        <v>1371665612</v>
      </c>
      <c r="H355" t="str">
        <f>IF(AND(Fact_Financials_Master[[#This Row],[Year_Quarter]]&gt;="2020-Q2", Fact_Financials_Master[[#This Row],[Year_Quarter]]&lt;="2021-Q2"), "CARES_Period", "Normal_Period")</f>
        <v>Normal_Period</v>
      </c>
    </row>
    <row r="356" spans="1:8" x14ac:dyDescent="0.25">
      <c r="A356" t="s">
        <v>27</v>
      </c>
      <c r="B356" s="1" t="s">
        <v>61</v>
      </c>
      <c r="C356">
        <v>7174</v>
      </c>
      <c r="D356">
        <v>87.13</v>
      </c>
      <c r="E356">
        <v>270664</v>
      </c>
      <c r="F356">
        <v>12031.1</v>
      </c>
      <c r="G356">
        <v>81789156</v>
      </c>
      <c r="H356" t="str">
        <f>IF(AND(Fact_Financials_Master[[#This Row],[Year_Quarter]]&gt;="2020-Q2", Fact_Financials_Master[[#This Row],[Year_Quarter]]&lt;="2021-Q2"), "CARES_Period", "Normal_Period")</f>
        <v>Normal_Period</v>
      </c>
    </row>
    <row r="357" spans="1:8" x14ac:dyDescent="0.25">
      <c r="A357" t="s">
        <v>55</v>
      </c>
      <c r="B357" s="1" t="s">
        <v>67</v>
      </c>
      <c r="C357">
        <v>-87158</v>
      </c>
      <c r="D357">
        <v>81.81</v>
      </c>
      <c r="E357">
        <v>987556</v>
      </c>
      <c r="F357">
        <v>-61549.68</v>
      </c>
      <c r="G357">
        <v>296571952</v>
      </c>
      <c r="H357" t="str">
        <f>IF(AND(Fact_Financials_Master[[#This Row],[Year_Quarter]]&gt;="2020-Q2", Fact_Financials_Master[[#This Row],[Year_Quarter]]&lt;="2021-Q2"), "CARES_Period", "Normal_Period")</f>
        <v>Normal_Period</v>
      </c>
    </row>
    <row r="358" spans="1:8" x14ac:dyDescent="0.25">
      <c r="A358" t="s">
        <v>26</v>
      </c>
      <c r="B358" s="1" t="s">
        <v>66</v>
      </c>
      <c r="C358">
        <v>191987</v>
      </c>
      <c r="D358">
        <v>86.173333333333332</v>
      </c>
      <c r="E358">
        <v>1463350</v>
      </c>
      <c r="F358">
        <v>314280</v>
      </c>
      <c r="G358">
        <v>350361411</v>
      </c>
      <c r="H358" t="str">
        <f>IF(AND(Fact_Financials_Master[[#This Row],[Year_Quarter]]&gt;="2020-Q2", Fact_Financials_Master[[#This Row],[Year_Quarter]]&lt;="2021-Q2"), "CARES_Period", "Normal_Period")</f>
        <v>Normal_Period</v>
      </c>
    </row>
    <row r="359" spans="1:8" x14ac:dyDescent="0.25">
      <c r="A359" t="s">
        <v>28</v>
      </c>
      <c r="B359" s="1" t="s">
        <v>61</v>
      </c>
      <c r="C359">
        <v>99824</v>
      </c>
      <c r="D359">
        <v>88.27</v>
      </c>
      <c r="E359">
        <v>318194</v>
      </c>
      <c r="F359">
        <v>102576.94</v>
      </c>
      <c r="G359">
        <v>70765862</v>
      </c>
      <c r="H359" t="str">
        <f>IF(AND(Fact_Financials_Master[[#This Row],[Year_Quarter]]&gt;="2020-Q2", Fact_Financials_Master[[#This Row],[Year_Quarter]]&lt;="2021-Q2"), "CARES_Period", "Normal_Period")</f>
        <v>Normal_Period</v>
      </c>
    </row>
    <row r="360" spans="1:8" x14ac:dyDescent="0.25">
      <c r="A360" t="s">
        <v>26</v>
      </c>
      <c r="B360" s="1" t="s">
        <v>65</v>
      </c>
      <c r="C360">
        <v>78801</v>
      </c>
      <c r="D360">
        <v>86.826666666666668</v>
      </c>
      <c r="E360">
        <v>1528320</v>
      </c>
      <c r="F360">
        <v>163330.23999999999</v>
      </c>
      <c r="G360">
        <v>518041128</v>
      </c>
      <c r="H360" t="str">
        <f>IF(AND(Fact_Financials_Master[[#This Row],[Year_Quarter]]&gt;="2020-Q2", Fact_Financials_Master[[#This Row],[Year_Quarter]]&lt;="2021-Q2"), "CARES_Period", "Normal_Period")</f>
        <v>Normal_Period</v>
      </c>
    </row>
    <row r="361" spans="1:8" x14ac:dyDescent="0.25">
      <c r="A361" t="s">
        <v>26</v>
      </c>
      <c r="B361" s="1" t="s">
        <v>62</v>
      </c>
      <c r="C361">
        <v>361459</v>
      </c>
      <c r="D361">
        <v>87.76</v>
      </c>
      <c r="E361">
        <v>11200109</v>
      </c>
      <c r="F361">
        <v>1409299</v>
      </c>
      <c r="G361">
        <v>2605487775</v>
      </c>
      <c r="H361" t="str">
        <f>IF(AND(Fact_Financials_Master[[#This Row],[Year_Quarter]]&gt;="2020-Q2", Fact_Financials_Master[[#This Row],[Year_Quarter]]&lt;="2021-Q2"), "CARES_Period", "Normal_Period")</f>
        <v>Normal_Period</v>
      </c>
    </row>
    <row r="362" spans="1:8" x14ac:dyDescent="0.25">
      <c r="A362" t="s">
        <v>29</v>
      </c>
      <c r="B362" s="1" t="s">
        <v>61</v>
      </c>
      <c r="C362">
        <v>83613</v>
      </c>
      <c r="D362">
        <v>87.26</v>
      </c>
      <c r="E362">
        <v>311020</v>
      </c>
      <c r="F362">
        <v>87363.13</v>
      </c>
      <c r="G362">
        <v>80067623</v>
      </c>
      <c r="H362" t="str">
        <f>IF(AND(Fact_Financials_Master[[#This Row],[Year_Quarter]]&gt;="2020-Q2", Fact_Financials_Master[[#This Row],[Year_Quarter]]&lt;="2021-Q2"), "CARES_Period", "Normal_Period")</f>
        <v>Normal_Period</v>
      </c>
    </row>
    <row r="363" spans="1:8" x14ac:dyDescent="0.25">
      <c r="A363" t="s">
        <v>26</v>
      </c>
      <c r="B363" s="1" t="s">
        <v>68</v>
      </c>
      <c r="C363">
        <v>58303</v>
      </c>
      <c r="D363">
        <v>91.573333333333338</v>
      </c>
      <c r="E363">
        <v>448374</v>
      </c>
      <c r="F363">
        <v>95653.48</v>
      </c>
      <c r="G363">
        <v>141632438</v>
      </c>
      <c r="H363" t="str">
        <f>IF(AND(Fact_Financials_Master[[#This Row],[Year_Quarter]]&gt;="2020-Q2", Fact_Financials_Master[[#This Row],[Year_Quarter]]&lt;="2021-Q2"), "CARES_Period", "Normal_Period")</f>
        <v>Normal_Period</v>
      </c>
    </row>
    <row r="364" spans="1:8" x14ac:dyDescent="0.25">
      <c r="A364" t="s">
        <v>30</v>
      </c>
      <c r="B364" s="1" t="s">
        <v>61</v>
      </c>
      <c r="C364">
        <v>70421</v>
      </c>
      <c r="D364">
        <v>87.256666666666661</v>
      </c>
      <c r="E364">
        <v>290034</v>
      </c>
      <c r="F364">
        <v>73212.94</v>
      </c>
      <c r="G364">
        <v>68969594</v>
      </c>
      <c r="H364" t="str">
        <f>IF(AND(Fact_Financials_Master[[#This Row],[Year_Quarter]]&gt;="2020-Q2", Fact_Financials_Master[[#This Row],[Year_Quarter]]&lt;="2021-Q2"), "CARES_Period", "Normal_Period")</f>
        <v>Normal_Period</v>
      </c>
    </row>
    <row r="365" spans="1:8" x14ac:dyDescent="0.25">
      <c r="A365" t="s">
        <v>31</v>
      </c>
      <c r="B365" s="1" t="s">
        <v>61</v>
      </c>
      <c r="C365">
        <v>90094</v>
      </c>
      <c r="D365">
        <v>83.516666666666666</v>
      </c>
      <c r="E365">
        <v>302260</v>
      </c>
      <c r="F365">
        <v>91974.11</v>
      </c>
      <c r="G365">
        <v>61679854</v>
      </c>
      <c r="H365" t="str">
        <f>IF(AND(Fact_Financials_Master[[#This Row],[Year_Quarter]]&gt;="2020-Q2", Fact_Financials_Master[[#This Row],[Year_Quarter]]&lt;="2021-Q2"), "CARES_Period", "Normal_Period")</f>
        <v>Normal_Period</v>
      </c>
    </row>
    <row r="366" spans="1:8" x14ac:dyDescent="0.25">
      <c r="A366" t="s">
        <v>26</v>
      </c>
      <c r="B366" s="1" t="s">
        <v>67</v>
      </c>
      <c r="C366">
        <v>66994</v>
      </c>
      <c r="D366">
        <v>87.773333333333341</v>
      </c>
      <c r="E366">
        <v>519769</v>
      </c>
      <c r="F366">
        <v>100191.31999999999</v>
      </c>
      <c r="G366">
        <v>171577216</v>
      </c>
      <c r="H366" t="str">
        <f>IF(AND(Fact_Financials_Master[[#This Row],[Year_Quarter]]&gt;="2020-Q2", Fact_Financials_Master[[#This Row],[Year_Quarter]]&lt;="2021-Q2"), "CARES_Period", "Normal_Period")</f>
        <v>Normal_Period</v>
      </c>
    </row>
    <row r="367" spans="1:8" x14ac:dyDescent="0.25">
      <c r="A367" t="s">
        <v>26</v>
      </c>
      <c r="B367" s="1" t="s">
        <v>63</v>
      </c>
      <c r="C367">
        <v>933236</v>
      </c>
      <c r="D367">
        <v>87.09</v>
      </c>
      <c r="E367">
        <v>10563671</v>
      </c>
      <c r="F367">
        <v>1184835.76</v>
      </c>
      <c r="G367">
        <v>2450900891</v>
      </c>
      <c r="H367" t="str">
        <f>IF(AND(Fact_Financials_Master[[#This Row],[Year_Quarter]]&gt;="2020-Q2", Fact_Financials_Master[[#This Row],[Year_Quarter]]&lt;="2021-Q2"), "CARES_Period", "Normal_Period")</f>
        <v>Normal_Period</v>
      </c>
    </row>
    <row r="368" spans="1:8" x14ac:dyDescent="0.25">
      <c r="A368" t="s">
        <v>32</v>
      </c>
      <c r="B368" s="1" t="s">
        <v>61</v>
      </c>
      <c r="C368">
        <v>112370</v>
      </c>
      <c r="D368">
        <v>85.946666666666673</v>
      </c>
      <c r="E368">
        <v>337294</v>
      </c>
      <c r="F368">
        <v>115497.38</v>
      </c>
      <c r="G368">
        <v>53774689</v>
      </c>
      <c r="H368" t="str">
        <f>IF(AND(Fact_Financials_Master[[#This Row],[Year_Quarter]]&gt;="2020-Q2", Fact_Financials_Master[[#This Row],[Year_Quarter]]&lt;="2021-Q2"), "CARES_Period", "Normal_Period")</f>
        <v>Normal_Period</v>
      </c>
    </row>
    <row r="369" spans="1:8" x14ac:dyDescent="0.25">
      <c r="A369" t="s">
        <v>26</v>
      </c>
      <c r="B369" s="1" t="s">
        <v>64</v>
      </c>
      <c r="C369">
        <v>328809</v>
      </c>
      <c r="D369">
        <v>84.33</v>
      </c>
      <c r="E369">
        <v>4799941</v>
      </c>
      <c r="F369">
        <v>614214</v>
      </c>
      <c r="G369">
        <v>1334880541</v>
      </c>
      <c r="H369" t="str">
        <f>IF(AND(Fact_Financials_Master[[#This Row],[Year_Quarter]]&gt;="2020-Q2", Fact_Financials_Master[[#This Row],[Year_Quarter]]&lt;="2021-Q2"), "CARES_Period", "Normal_Period")</f>
        <v>Normal_Period</v>
      </c>
    </row>
    <row r="370" spans="1:8" x14ac:dyDescent="0.25">
      <c r="A370" t="s">
        <v>33</v>
      </c>
      <c r="B370" s="1" t="s">
        <v>61</v>
      </c>
      <c r="C370">
        <v>93676</v>
      </c>
      <c r="D370">
        <v>86.183333333333337</v>
      </c>
      <c r="E370">
        <v>332758</v>
      </c>
      <c r="F370">
        <v>97699.59</v>
      </c>
      <c r="G370">
        <v>68443100</v>
      </c>
      <c r="H370" t="str">
        <f>IF(AND(Fact_Financials_Master[[#This Row],[Year_Quarter]]&gt;="2020-Q2", Fact_Financials_Master[[#This Row],[Year_Quarter]]&lt;="2021-Q2"), "CARES_Period", "Normal_Period")</f>
        <v>Normal_Period</v>
      </c>
    </row>
    <row r="371" spans="1:8" x14ac:dyDescent="0.25">
      <c r="A371" t="s">
        <v>27</v>
      </c>
      <c r="B371" s="1" t="s">
        <v>66</v>
      </c>
      <c r="C371">
        <v>147116</v>
      </c>
      <c r="D371">
        <v>83.926666666666662</v>
      </c>
      <c r="E371">
        <v>1305499</v>
      </c>
      <c r="F371">
        <v>239735</v>
      </c>
      <c r="G371">
        <v>276786712</v>
      </c>
      <c r="H371" t="str">
        <f>IF(AND(Fact_Financials_Master[[#This Row],[Year_Quarter]]&gt;="2020-Q2", Fact_Financials_Master[[#This Row],[Year_Quarter]]&lt;="2021-Q2"), "CARES_Period", "Normal_Period")</f>
        <v>Normal_Period</v>
      </c>
    </row>
    <row r="372" spans="1:8" x14ac:dyDescent="0.25">
      <c r="A372" t="s">
        <v>34</v>
      </c>
      <c r="B372" s="1" t="s">
        <v>61</v>
      </c>
      <c r="C372">
        <v>69324</v>
      </c>
      <c r="D372">
        <v>86.943333333333328</v>
      </c>
      <c r="E372">
        <v>322088</v>
      </c>
      <c r="F372">
        <v>71859.289999999994</v>
      </c>
      <c r="G372">
        <v>70416853</v>
      </c>
      <c r="H372" t="str">
        <f>IF(AND(Fact_Financials_Master[[#This Row],[Year_Quarter]]&gt;="2020-Q2", Fact_Financials_Master[[#This Row],[Year_Quarter]]&lt;="2021-Q2"), "CARES_Period", "Normal_Period")</f>
        <v>Normal_Period</v>
      </c>
    </row>
    <row r="373" spans="1:8" x14ac:dyDescent="0.25">
      <c r="A373" t="s">
        <v>27</v>
      </c>
      <c r="B373" s="1" t="s">
        <v>65</v>
      </c>
      <c r="C373">
        <v>87388</v>
      </c>
      <c r="D373">
        <v>83.696666666666673</v>
      </c>
      <c r="E373">
        <v>1446067</v>
      </c>
      <c r="F373">
        <v>160651.54999999999</v>
      </c>
      <c r="G373">
        <v>435774779</v>
      </c>
      <c r="H373" t="str">
        <f>IF(AND(Fact_Financials_Master[[#This Row],[Year_Quarter]]&gt;="2020-Q2", Fact_Financials_Master[[#This Row],[Year_Quarter]]&lt;="2021-Q2"), "CARES_Period", "Normal_Period")</f>
        <v>Normal_Period</v>
      </c>
    </row>
    <row r="374" spans="1:8" x14ac:dyDescent="0.25">
      <c r="A374" t="s">
        <v>35</v>
      </c>
      <c r="B374" s="1" t="s">
        <v>61</v>
      </c>
      <c r="C374">
        <v>60892</v>
      </c>
      <c r="D374">
        <v>81.913333333333327</v>
      </c>
      <c r="E374">
        <v>325175</v>
      </c>
      <c r="F374">
        <v>63277.16</v>
      </c>
      <c r="G374">
        <v>73408075</v>
      </c>
      <c r="H374" t="str">
        <f>IF(AND(Fact_Financials_Master[[#This Row],[Year_Quarter]]&gt;="2020-Q2", Fact_Financials_Master[[#This Row],[Year_Quarter]]&lt;="2021-Q2"), "CARES_Period", "Normal_Period")</f>
        <v>Normal_Period</v>
      </c>
    </row>
    <row r="375" spans="1:8" x14ac:dyDescent="0.25">
      <c r="A375" t="s">
        <v>27</v>
      </c>
      <c r="B375" s="1" t="s">
        <v>68</v>
      </c>
      <c r="C375">
        <v>25446</v>
      </c>
      <c r="D375">
        <v>87.85</v>
      </c>
      <c r="E375">
        <v>405137</v>
      </c>
      <c r="F375">
        <v>39029.120000000003</v>
      </c>
      <c r="G375">
        <v>114904788</v>
      </c>
      <c r="H375" t="str">
        <f>IF(AND(Fact_Financials_Master[[#This Row],[Year_Quarter]]&gt;="2020-Q2", Fact_Financials_Master[[#This Row],[Year_Quarter]]&lt;="2021-Q2"), "CARES_Period", "Normal_Period")</f>
        <v>Normal_Period</v>
      </c>
    </row>
    <row r="376" spans="1:8" x14ac:dyDescent="0.25">
      <c r="A376" t="s">
        <v>36</v>
      </c>
      <c r="B376" s="1" t="s">
        <v>61</v>
      </c>
      <c r="C376">
        <v>63745</v>
      </c>
      <c r="D376">
        <v>82.356666666666669</v>
      </c>
      <c r="E376">
        <v>362002</v>
      </c>
      <c r="F376">
        <v>66051.240000000005</v>
      </c>
      <c r="G376">
        <v>84449019</v>
      </c>
      <c r="H376" t="str">
        <f>IF(AND(Fact_Financials_Master[[#This Row],[Year_Quarter]]&gt;="2020-Q2", Fact_Financials_Master[[#This Row],[Year_Quarter]]&lt;="2021-Q2"), "CARES_Period", "Normal_Period")</f>
        <v>Normal_Period</v>
      </c>
    </row>
    <row r="377" spans="1:8" x14ac:dyDescent="0.25">
      <c r="A377" t="s">
        <v>27</v>
      </c>
      <c r="B377" s="1" t="s">
        <v>67</v>
      </c>
      <c r="C377">
        <v>57802</v>
      </c>
      <c r="D377">
        <v>83.893333333333331</v>
      </c>
      <c r="E377">
        <v>474487</v>
      </c>
      <c r="F377">
        <v>89975.31</v>
      </c>
      <c r="G377">
        <v>137897785</v>
      </c>
      <c r="H377" t="str">
        <f>IF(AND(Fact_Financials_Master[[#This Row],[Year_Quarter]]&gt;="2020-Q2", Fact_Financials_Master[[#This Row],[Year_Quarter]]&lt;="2021-Q2"), "CARES_Period", "Normal_Period")</f>
        <v>Normal_Period</v>
      </c>
    </row>
    <row r="378" spans="1:8" x14ac:dyDescent="0.25">
      <c r="A378" t="s">
        <v>37</v>
      </c>
      <c r="B378" s="1" t="s">
        <v>61</v>
      </c>
      <c r="C378">
        <v>73787</v>
      </c>
      <c r="D378">
        <v>84.72</v>
      </c>
      <c r="E378">
        <v>384424</v>
      </c>
      <c r="F378">
        <v>76865.039999999994</v>
      </c>
      <c r="G378">
        <v>84993718</v>
      </c>
      <c r="H378" t="str">
        <f>IF(AND(Fact_Financials_Master[[#This Row],[Year_Quarter]]&gt;="2020-Q2", Fact_Financials_Master[[#This Row],[Year_Quarter]]&lt;="2021-Q2"), "CARES_Period", "Normal_Period")</f>
        <v>Normal_Period</v>
      </c>
    </row>
    <row r="379" spans="1:8" x14ac:dyDescent="0.25">
      <c r="A379" t="s">
        <v>27</v>
      </c>
      <c r="B379" s="1" t="s">
        <v>63</v>
      </c>
      <c r="C379">
        <v>-8662</v>
      </c>
      <c r="D379">
        <v>84</v>
      </c>
      <c r="E379">
        <v>9312309</v>
      </c>
      <c r="F379">
        <v>625651.40999999992</v>
      </c>
      <c r="G379">
        <v>1896055809</v>
      </c>
      <c r="H379" t="str">
        <f>IF(AND(Fact_Financials_Master[[#This Row],[Year_Quarter]]&gt;="2020-Q2", Fact_Financials_Master[[#This Row],[Year_Quarter]]&lt;="2021-Q2"), "CARES_Period", "Normal_Period")</f>
        <v>Normal_Period</v>
      </c>
    </row>
    <row r="380" spans="1:8" x14ac:dyDescent="0.25">
      <c r="A380" t="s">
        <v>38</v>
      </c>
      <c r="B380" s="1" t="s">
        <v>61</v>
      </c>
      <c r="C380">
        <v>31430</v>
      </c>
      <c r="D380">
        <v>84.763333333333335</v>
      </c>
      <c r="E380">
        <v>333708</v>
      </c>
      <c r="F380">
        <v>35082.519999999997</v>
      </c>
      <c r="G380">
        <v>80119142</v>
      </c>
      <c r="H380" t="str">
        <f>IF(AND(Fact_Financials_Master[[#This Row],[Year_Quarter]]&gt;="2020-Q2", Fact_Financials_Master[[#This Row],[Year_Quarter]]&lt;="2021-Q2"), "CARES_Period", "Normal_Period")</f>
        <v>Normal_Period</v>
      </c>
    </row>
    <row r="381" spans="1:8" x14ac:dyDescent="0.25">
      <c r="A381" t="s">
        <v>27</v>
      </c>
      <c r="B381" s="1" t="s">
        <v>64</v>
      </c>
      <c r="C381">
        <v>190257</v>
      </c>
      <c r="D381">
        <v>82.26</v>
      </c>
      <c r="E381">
        <v>4627644</v>
      </c>
      <c r="F381">
        <v>620291</v>
      </c>
      <c r="G381">
        <v>1114163719</v>
      </c>
      <c r="H381" t="str">
        <f>IF(AND(Fact_Financials_Master[[#This Row],[Year_Quarter]]&gt;="2020-Q2", Fact_Financials_Master[[#This Row],[Year_Quarter]]&lt;="2021-Q2"), "CARES_Period", "Normal_Period")</f>
        <v>Normal_Period</v>
      </c>
    </row>
    <row r="382" spans="1:8" x14ac:dyDescent="0.25">
      <c r="A382" t="s">
        <v>39</v>
      </c>
      <c r="B382" s="1" t="s">
        <v>61</v>
      </c>
      <c r="C382">
        <v>16480</v>
      </c>
      <c r="D382">
        <v>83.376666666666665</v>
      </c>
      <c r="E382">
        <v>363482</v>
      </c>
      <c r="F382">
        <v>20185.93</v>
      </c>
      <c r="G382">
        <v>92266000</v>
      </c>
      <c r="H382" t="str">
        <f>IF(AND(Fact_Financials_Master[[#This Row],[Year_Quarter]]&gt;="2020-Q2", Fact_Financials_Master[[#This Row],[Year_Quarter]]&lt;="2021-Q2"), "CARES_Period", "Normal_Period")</f>
        <v>Normal_Period</v>
      </c>
    </row>
    <row r="383" spans="1:8" x14ac:dyDescent="0.25">
      <c r="A383" t="s">
        <v>57</v>
      </c>
      <c r="B383" s="1" t="s">
        <v>67</v>
      </c>
      <c r="C383">
        <v>-52406</v>
      </c>
      <c r="D383">
        <v>87.433333333333337</v>
      </c>
      <c r="E383">
        <v>1366643</v>
      </c>
      <c r="F383">
        <v>-45330.3</v>
      </c>
      <c r="G383">
        <v>558633111</v>
      </c>
      <c r="H383" t="str">
        <f>IF(AND(Fact_Financials_Master[[#This Row],[Year_Quarter]]&gt;="2020-Q2", Fact_Financials_Master[[#This Row],[Year_Quarter]]&lt;="2021-Q2"), "CARES_Period", "Normal_Period")</f>
        <v>Normal_Period</v>
      </c>
    </row>
    <row r="384" spans="1:8" x14ac:dyDescent="0.25">
      <c r="A384" t="s">
        <v>28</v>
      </c>
      <c r="B384" s="1" t="s">
        <v>66</v>
      </c>
      <c r="C384">
        <v>145466</v>
      </c>
      <c r="D384">
        <v>83.996666666666655</v>
      </c>
      <c r="E384">
        <v>1267731</v>
      </c>
      <c r="F384">
        <v>238150</v>
      </c>
      <c r="G384">
        <v>204360350</v>
      </c>
      <c r="H384" t="str">
        <f>IF(AND(Fact_Financials_Master[[#This Row],[Year_Quarter]]&gt;="2020-Q2", Fact_Financials_Master[[#This Row],[Year_Quarter]]&lt;="2021-Q2"), "CARES_Period", "Normal_Period")</f>
        <v>Normal_Period</v>
      </c>
    </row>
    <row r="385" spans="1:8" x14ac:dyDescent="0.25">
      <c r="A385" t="s">
        <v>40</v>
      </c>
      <c r="B385" s="1" t="s">
        <v>61</v>
      </c>
      <c r="C385">
        <v>71092</v>
      </c>
      <c r="D385">
        <v>85.38</v>
      </c>
      <c r="E385">
        <v>412681</v>
      </c>
      <c r="F385">
        <v>76094.83</v>
      </c>
      <c r="G385">
        <v>105486338</v>
      </c>
      <c r="H385" t="str">
        <f>IF(AND(Fact_Financials_Master[[#This Row],[Year_Quarter]]&gt;="2020-Q2", Fact_Financials_Master[[#This Row],[Year_Quarter]]&lt;="2021-Q2"), "CARES_Period", "Normal_Period")</f>
        <v>Normal_Period</v>
      </c>
    </row>
    <row r="386" spans="1:8" x14ac:dyDescent="0.25">
      <c r="A386" t="s">
        <v>28</v>
      </c>
      <c r="B386" s="1" t="s">
        <v>65</v>
      </c>
      <c r="C386">
        <v>137003</v>
      </c>
      <c r="D386">
        <v>84.983333333333334</v>
      </c>
      <c r="E386">
        <v>1523656</v>
      </c>
      <c r="F386">
        <v>243602.40999999997</v>
      </c>
      <c r="G386">
        <v>334819240</v>
      </c>
      <c r="H386" t="str">
        <f>IF(AND(Fact_Financials_Master[[#This Row],[Year_Quarter]]&gt;="2020-Q2", Fact_Financials_Master[[#This Row],[Year_Quarter]]&lt;="2021-Q2"), "CARES_Period", "Normal_Period")</f>
        <v>Normal_Period</v>
      </c>
    </row>
    <row r="387" spans="1:8" x14ac:dyDescent="0.25">
      <c r="A387" t="s">
        <v>28</v>
      </c>
      <c r="B387" s="1" t="s">
        <v>62</v>
      </c>
      <c r="C387">
        <v>744504</v>
      </c>
      <c r="D387">
        <v>84.86333333333333</v>
      </c>
      <c r="E387">
        <v>9407610</v>
      </c>
      <c r="F387">
        <v>1404428</v>
      </c>
      <c r="G387">
        <v>2423967351</v>
      </c>
      <c r="H387" t="str">
        <f>IF(AND(Fact_Financials_Master[[#This Row],[Year_Quarter]]&gt;="2020-Q2", Fact_Financials_Master[[#This Row],[Year_Quarter]]&lt;="2021-Q2"), "CARES_Period", "Normal_Period")</f>
        <v>Normal_Period</v>
      </c>
    </row>
    <row r="388" spans="1:8" x14ac:dyDescent="0.25">
      <c r="A388" t="s">
        <v>41</v>
      </c>
      <c r="B388" s="1" t="s">
        <v>61</v>
      </c>
      <c r="C388">
        <v>56008</v>
      </c>
      <c r="D388">
        <v>85.646666666666661</v>
      </c>
      <c r="E388">
        <v>415566</v>
      </c>
      <c r="F388">
        <v>62540.06</v>
      </c>
      <c r="G388">
        <v>122342360</v>
      </c>
      <c r="H388" t="str">
        <f>IF(AND(Fact_Financials_Master[[#This Row],[Year_Quarter]]&gt;="2020-Q2", Fact_Financials_Master[[#This Row],[Year_Quarter]]&lt;="2021-Q2"), "CARES_Period", "Normal_Period")</f>
        <v>Normal_Period</v>
      </c>
    </row>
    <row r="389" spans="1:8" x14ac:dyDescent="0.25">
      <c r="A389" t="s">
        <v>28</v>
      </c>
      <c r="B389" s="1" t="s">
        <v>68</v>
      </c>
      <c r="C389">
        <v>30810</v>
      </c>
      <c r="D389">
        <v>85.05</v>
      </c>
      <c r="E389">
        <v>369422</v>
      </c>
      <c r="F389">
        <v>50401.03</v>
      </c>
      <c r="G389">
        <v>83790345</v>
      </c>
      <c r="H389" t="str">
        <f>IF(AND(Fact_Financials_Master[[#This Row],[Year_Quarter]]&gt;="2020-Q2", Fact_Financials_Master[[#This Row],[Year_Quarter]]&lt;="2021-Q2"), "CARES_Period", "Normal_Period")</f>
        <v>Normal_Period</v>
      </c>
    </row>
    <row r="390" spans="1:8" x14ac:dyDescent="0.25">
      <c r="A390" t="s">
        <v>42</v>
      </c>
      <c r="B390" s="1" t="s">
        <v>61</v>
      </c>
      <c r="C390">
        <v>10541</v>
      </c>
      <c r="D390">
        <v>85.976666666666674</v>
      </c>
      <c r="E390">
        <v>373414</v>
      </c>
      <c r="F390">
        <v>18124.259999999998</v>
      </c>
      <c r="G390">
        <v>113440968</v>
      </c>
      <c r="H390" t="str">
        <f>IF(AND(Fact_Financials_Master[[#This Row],[Year_Quarter]]&gt;="2020-Q2", Fact_Financials_Master[[#This Row],[Year_Quarter]]&lt;="2021-Q2"), "CARES_Period", "Normal_Period")</f>
        <v>Normal_Period</v>
      </c>
    </row>
    <row r="391" spans="1:8" x14ac:dyDescent="0.25">
      <c r="A391" t="s">
        <v>43</v>
      </c>
      <c r="B391" s="1" t="s">
        <v>61</v>
      </c>
      <c r="C391">
        <v>54091</v>
      </c>
      <c r="D391">
        <v>83.05</v>
      </c>
      <c r="E391">
        <v>395148</v>
      </c>
      <c r="F391">
        <v>59073.36</v>
      </c>
      <c r="G391">
        <v>103684702</v>
      </c>
      <c r="H391" t="str">
        <f>IF(AND(Fact_Financials_Master[[#This Row],[Year_Quarter]]&gt;="2020-Q2", Fact_Financials_Master[[#This Row],[Year_Quarter]]&lt;="2021-Q2"), "CARES_Period", "Normal_Period")</f>
        <v>Normal_Period</v>
      </c>
    </row>
    <row r="392" spans="1:8" x14ac:dyDescent="0.25">
      <c r="A392" t="s">
        <v>28</v>
      </c>
      <c r="B392" s="1" t="s">
        <v>67</v>
      </c>
      <c r="C392">
        <v>69002</v>
      </c>
      <c r="D392">
        <v>85.51</v>
      </c>
      <c r="E392">
        <v>493355</v>
      </c>
      <c r="F392">
        <v>109251.18000000001</v>
      </c>
      <c r="G392">
        <v>112425273</v>
      </c>
      <c r="H392" t="str">
        <f>IF(AND(Fact_Financials_Master[[#This Row],[Year_Quarter]]&gt;="2020-Q2", Fact_Financials_Master[[#This Row],[Year_Quarter]]&lt;="2021-Q2"), "CARES_Period", "Normal_Period")</f>
        <v>Normal_Period</v>
      </c>
    </row>
    <row r="393" spans="1:8" x14ac:dyDescent="0.25">
      <c r="A393" t="s">
        <v>44</v>
      </c>
      <c r="B393" s="1" t="s">
        <v>61</v>
      </c>
      <c r="C393">
        <v>76967</v>
      </c>
      <c r="D393">
        <v>84.133333333333326</v>
      </c>
      <c r="E393">
        <v>429661</v>
      </c>
      <c r="F393">
        <v>85040.74</v>
      </c>
      <c r="G393">
        <v>99473327</v>
      </c>
      <c r="H393" t="str">
        <f>IF(AND(Fact_Financials_Master[[#This Row],[Year_Quarter]]&gt;="2020-Q2", Fact_Financials_Master[[#This Row],[Year_Quarter]]&lt;="2021-Q2"), "CARES_Period", "Normal_Period")</f>
        <v>Normal_Period</v>
      </c>
    </row>
    <row r="394" spans="1:8" x14ac:dyDescent="0.25">
      <c r="A394" t="s">
        <v>28</v>
      </c>
      <c r="B394" s="1" t="s">
        <v>63</v>
      </c>
      <c r="C394">
        <v>509296</v>
      </c>
      <c r="D394">
        <v>84.326666666666668</v>
      </c>
      <c r="E394">
        <v>8608479</v>
      </c>
      <c r="F394">
        <v>740717.99</v>
      </c>
      <c r="G394">
        <v>1324808019</v>
      </c>
      <c r="H394" t="str">
        <f>IF(AND(Fact_Financials_Master[[#This Row],[Year_Quarter]]&gt;="2020-Q2", Fact_Financials_Master[[#This Row],[Year_Quarter]]&lt;="2021-Q2"), "CARES_Period", "Normal_Period")</f>
        <v>Normal_Period</v>
      </c>
    </row>
    <row r="395" spans="1:8" x14ac:dyDescent="0.25">
      <c r="A395" t="s">
        <v>40</v>
      </c>
      <c r="B395" s="1" t="s">
        <v>67</v>
      </c>
      <c r="C395">
        <v>-44922</v>
      </c>
      <c r="D395">
        <v>81.546666666666667</v>
      </c>
      <c r="E395">
        <v>704138</v>
      </c>
      <c r="F395">
        <v>-38796.75</v>
      </c>
      <c r="G395">
        <v>204645638</v>
      </c>
      <c r="H395" t="str">
        <f>IF(AND(Fact_Financials_Master[[#This Row],[Year_Quarter]]&gt;="2020-Q2", Fact_Financials_Master[[#This Row],[Year_Quarter]]&lt;="2021-Q2"), "CARES_Period", "Normal_Period")</f>
        <v>Normal_Period</v>
      </c>
    </row>
    <row r="396" spans="1:8" x14ac:dyDescent="0.25">
      <c r="A396" t="s">
        <v>28</v>
      </c>
      <c r="B396" s="1" t="s">
        <v>64</v>
      </c>
      <c r="C396">
        <v>452936</v>
      </c>
      <c r="D396">
        <v>79.976666666666659</v>
      </c>
      <c r="E396">
        <v>4414255</v>
      </c>
      <c r="F396">
        <v>780327</v>
      </c>
      <c r="G396">
        <v>833829602</v>
      </c>
      <c r="H396" t="str">
        <f>IF(AND(Fact_Financials_Master[[#This Row],[Year_Quarter]]&gt;="2020-Q2", Fact_Financials_Master[[#This Row],[Year_Quarter]]&lt;="2021-Q2"), "CARES_Period", "Normal_Period")</f>
        <v>Normal_Period</v>
      </c>
    </row>
    <row r="397" spans="1:8" x14ac:dyDescent="0.25">
      <c r="A397" t="s">
        <v>45</v>
      </c>
      <c r="B397" s="1" t="s">
        <v>61</v>
      </c>
      <c r="C397">
        <v>91341</v>
      </c>
      <c r="D397">
        <v>84.103333333333325</v>
      </c>
      <c r="E397">
        <v>466846</v>
      </c>
      <c r="F397">
        <v>100607.39</v>
      </c>
      <c r="G397">
        <v>120009216</v>
      </c>
      <c r="H397" t="str">
        <f>IF(AND(Fact_Financials_Master[[#This Row],[Year_Quarter]]&gt;="2020-Q2", Fact_Financials_Master[[#This Row],[Year_Quarter]]&lt;="2021-Q2"), "CARES_Period", "Normal_Period")</f>
        <v>Normal_Period</v>
      </c>
    </row>
    <row r="398" spans="1:8" x14ac:dyDescent="0.25">
      <c r="A398" t="s">
        <v>53</v>
      </c>
      <c r="B398" s="1" t="s">
        <v>66</v>
      </c>
      <c r="C398">
        <v>329064</v>
      </c>
      <c r="D398">
        <v>76.486666666666665</v>
      </c>
      <c r="E398">
        <v>1525762</v>
      </c>
      <c r="F398">
        <v>-42512</v>
      </c>
      <c r="G398">
        <v>278361625</v>
      </c>
      <c r="H398" t="str">
        <f>IF(AND(Fact_Financials_Master[[#This Row],[Year_Quarter]]&gt;="2020-Q2", Fact_Financials_Master[[#This Row],[Year_Quarter]]&lt;="2021-Q2"), "CARES_Period", "Normal_Period")</f>
        <v>CARES_Period</v>
      </c>
    </row>
    <row r="399" spans="1:8" x14ac:dyDescent="0.25">
      <c r="A399" t="s">
        <v>29</v>
      </c>
      <c r="B399" s="1" t="s">
        <v>66</v>
      </c>
      <c r="C399">
        <v>228355</v>
      </c>
      <c r="D399">
        <v>85.49</v>
      </c>
      <c r="E399">
        <v>1435914</v>
      </c>
      <c r="F399">
        <v>362418</v>
      </c>
      <c r="G399">
        <v>234469227</v>
      </c>
      <c r="H399" t="str">
        <f>IF(AND(Fact_Financials_Master[[#This Row],[Year_Quarter]]&gt;="2020-Q2", Fact_Financials_Master[[#This Row],[Year_Quarter]]&lt;="2021-Q2"), "CARES_Period", "Normal_Period")</f>
        <v>Normal_Period</v>
      </c>
    </row>
    <row r="400" spans="1:8" x14ac:dyDescent="0.25">
      <c r="A400" t="s">
        <v>46</v>
      </c>
      <c r="B400" s="1" t="s">
        <v>61</v>
      </c>
      <c r="C400">
        <v>54431</v>
      </c>
      <c r="D400">
        <v>86.016666666666666</v>
      </c>
      <c r="E400">
        <v>410866</v>
      </c>
      <c r="F400">
        <v>63909.96</v>
      </c>
      <c r="G400">
        <v>105350096</v>
      </c>
      <c r="H400" t="str">
        <f>IF(AND(Fact_Financials_Master[[#This Row],[Year_Quarter]]&gt;="2020-Q2", Fact_Financials_Master[[#This Row],[Year_Quarter]]&lt;="2021-Q2"), "CARES_Period", "Normal_Period")</f>
        <v>Normal_Period</v>
      </c>
    </row>
    <row r="401" spans="1:8" x14ac:dyDescent="0.25">
      <c r="A401" t="s">
        <v>29</v>
      </c>
      <c r="B401" s="1" t="s">
        <v>65</v>
      </c>
      <c r="C401">
        <v>151979</v>
      </c>
      <c r="D401">
        <v>86.033333333333331</v>
      </c>
      <c r="E401">
        <v>1611352</v>
      </c>
      <c r="F401">
        <v>281960.65000000002</v>
      </c>
      <c r="G401">
        <v>371345071</v>
      </c>
      <c r="H401" t="str">
        <f>IF(AND(Fact_Financials_Master[[#This Row],[Year_Quarter]]&gt;="2020-Q2", Fact_Financials_Master[[#This Row],[Year_Quarter]]&lt;="2021-Q2"), "CARES_Period", "Normal_Period")</f>
        <v>Normal_Period</v>
      </c>
    </row>
    <row r="402" spans="1:8" x14ac:dyDescent="0.25">
      <c r="A402" t="s">
        <v>29</v>
      </c>
      <c r="B402" s="1" t="s">
        <v>62</v>
      </c>
      <c r="C402">
        <v>1487293</v>
      </c>
      <c r="D402">
        <v>88.313333333333333</v>
      </c>
      <c r="E402">
        <v>10728156</v>
      </c>
      <c r="F402">
        <v>2496242</v>
      </c>
      <c r="G402">
        <v>2177479292</v>
      </c>
      <c r="H402" t="str">
        <f>IF(AND(Fact_Financials_Master[[#This Row],[Year_Quarter]]&gt;="2020-Q2", Fact_Financials_Master[[#This Row],[Year_Quarter]]&lt;="2021-Q2"), "CARES_Period", "Normal_Period")</f>
        <v>Normal_Period</v>
      </c>
    </row>
    <row r="403" spans="1:8" x14ac:dyDescent="0.25">
      <c r="A403" t="s">
        <v>47</v>
      </c>
      <c r="B403" s="1" t="s">
        <v>61</v>
      </c>
      <c r="C403">
        <v>75741</v>
      </c>
      <c r="D403">
        <v>82.18</v>
      </c>
      <c r="E403">
        <v>438613</v>
      </c>
      <c r="F403">
        <v>84556.7</v>
      </c>
      <c r="G403">
        <v>103820658</v>
      </c>
      <c r="H403" t="str">
        <f>IF(AND(Fact_Financials_Master[[#This Row],[Year_Quarter]]&gt;="2020-Q2", Fact_Financials_Master[[#This Row],[Year_Quarter]]&lt;="2021-Q2"), "CARES_Period", "Normal_Period")</f>
        <v>Normal_Period</v>
      </c>
    </row>
    <row r="404" spans="1:8" x14ac:dyDescent="0.25">
      <c r="A404" t="s">
        <v>29</v>
      </c>
      <c r="B404" s="1" t="s">
        <v>68</v>
      </c>
      <c r="C404">
        <v>59711</v>
      </c>
      <c r="D404">
        <v>86.316666666666663</v>
      </c>
      <c r="E404">
        <v>412924</v>
      </c>
      <c r="F404">
        <v>90720.19</v>
      </c>
      <c r="G404">
        <v>95508606</v>
      </c>
      <c r="H404" t="str">
        <f>IF(AND(Fact_Financials_Master[[#This Row],[Year_Quarter]]&gt;="2020-Q2", Fact_Financials_Master[[#This Row],[Year_Quarter]]&lt;="2021-Q2"), "CARES_Period", "Normal_Period")</f>
        <v>Normal_Period</v>
      </c>
    </row>
    <row r="405" spans="1:8" x14ac:dyDescent="0.25">
      <c r="A405" t="s">
        <v>43</v>
      </c>
      <c r="B405" s="1" t="s">
        <v>68</v>
      </c>
      <c r="C405">
        <v>-42084</v>
      </c>
      <c r="D405">
        <v>85.396666666666661</v>
      </c>
      <c r="E405">
        <v>553717</v>
      </c>
      <c r="F405">
        <v>-32846.979999999996</v>
      </c>
      <c r="G405">
        <v>134069880</v>
      </c>
      <c r="H405" t="str">
        <f>IF(AND(Fact_Financials_Master[[#This Row],[Year_Quarter]]&gt;="2020-Q2", Fact_Financials_Master[[#This Row],[Year_Quarter]]&lt;="2021-Q2"), "CARES_Period", "Normal_Period")</f>
        <v>Normal_Period</v>
      </c>
    </row>
    <row r="406" spans="1:8" x14ac:dyDescent="0.25">
      <c r="A406" t="s">
        <v>48</v>
      </c>
      <c r="B406" s="1" t="s">
        <v>61</v>
      </c>
      <c r="C406">
        <v>29779</v>
      </c>
      <c r="D406">
        <v>74.826666666666668</v>
      </c>
      <c r="E406">
        <v>386605</v>
      </c>
      <c r="F406">
        <v>38659.279999999999</v>
      </c>
      <c r="G406">
        <v>89257839</v>
      </c>
      <c r="H406" t="str">
        <f>IF(AND(Fact_Financials_Master[[#This Row],[Year_Quarter]]&gt;="2020-Q2", Fact_Financials_Master[[#This Row],[Year_Quarter]]&lt;="2021-Q2"), "CARES_Period", "Normal_Period")</f>
        <v>Normal_Period</v>
      </c>
    </row>
    <row r="407" spans="1:8" x14ac:dyDescent="0.25">
      <c r="A407" t="s">
        <v>58</v>
      </c>
      <c r="B407" s="1" t="s">
        <v>67</v>
      </c>
      <c r="C407">
        <v>-36377</v>
      </c>
      <c r="D407">
        <v>83.183333333333337</v>
      </c>
      <c r="E407">
        <v>1343179</v>
      </c>
      <c r="F407">
        <v>-36389.199999999997</v>
      </c>
      <c r="G407">
        <v>508495732</v>
      </c>
      <c r="H407" t="str">
        <f>IF(AND(Fact_Financials_Master[[#This Row],[Year_Quarter]]&gt;="2020-Q2", Fact_Financials_Master[[#This Row],[Year_Quarter]]&lt;="2021-Q2"), "CARES_Period", "Normal_Period")</f>
        <v>Normal_Period</v>
      </c>
    </row>
    <row r="408" spans="1:8" x14ac:dyDescent="0.25">
      <c r="A408" t="s">
        <v>29</v>
      </c>
      <c r="B408" s="1" t="s">
        <v>67</v>
      </c>
      <c r="C408">
        <v>76704</v>
      </c>
      <c r="D408">
        <v>86.39</v>
      </c>
      <c r="E408">
        <v>553421</v>
      </c>
      <c r="F408">
        <v>122314.82999999999</v>
      </c>
      <c r="G408">
        <v>127514440</v>
      </c>
      <c r="H408" t="str">
        <f>IF(AND(Fact_Financials_Master[[#This Row],[Year_Quarter]]&gt;="2020-Q2", Fact_Financials_Master[[#This Row],[Year_Quarter]]&lt;="2021-Q2"), "CARES_Period", "Normal_Period")</f>
        <v>Normal_Period</v>
      </c>
    </row>
    <row r="409" spans="1:8" x14ac:dyDescent="0.25">
      <c r="A409" t="s">
        <v>51</v>
      </c>
      <c r="B409" s="1" t="s">
        <v>61</v>
      </c>
      <c r="C409">
        <v>-35260</v>
      </c>
      <c r="D409">
        <v>58.823333333333338</v>
      </c>
      <c r="E409">
        <v>233413</v>
      </c>
      <c r="F409">
        <v>-28195.67</v>
      </c>
      <c r="G409">
        <v>52769639</v>
      </c>
      <c r="H409" t="str">
        <f>IF(AND(Fact_Financials_Master[[#This Row],[Year_Quarter]]&gt;="2020-Q2", Fact_Financials_Master[[#This Row],[Year_Quarter]]&lt;="2021-Q2"), "CARES_Period", "Normal_Period")</f>
        <v>CARES_Period</v>
      </c>
    </row>
    <row r="410" spans="1:8" x14ac:dyDescent="0.25">
      <c r="A410" t="s">
        <v>29</v>
      </c>
      <c r="B410" s="1" t="s">
        <v>63</v>
      </c>
      <c r="C410">
        <v>1192981</v>
      </c>
      <c r="D410">
        <v>86.743333333333339</v>
      </c>
      <c r="E410">
        <v>9913459</v>
      </c>
      <c r="F410">
        <v>1445610.78</v>
      </c>
      <c r="G410">
        <v>1555463558</v>
      </c>
      <c r="H410" t="str">
        <f>IF(AND(Fact_Financials_Master[[#This Row],[Year_Quarter]]&gt;="2020-Q2", Fact_Financials_Master[[#This Row],[Year_Quarter]]&lt;="2021-Q2"), "CARES_Period", "Normal_Period")</f>
        <v>Normal_Period</v>
      </c>
    </row>
    <row r="411" spans="1:8" x14ac:dyDescent="0.25">
      <c r="A411" t="s">
        <v>29</v>
      </c>
      <c r="B411" s="1" t="s">
        <v>64</v>
      </c>
      <c r="C411">
        <v>608030</v>
      </c>
      <c r="D411">
        <v>84.73</v>
      </c>
      <c r="E411">
        <v>5110613</v>
      </c>
      <c r="F411">
        <v>1085036</v>
      </c>
      <c r="G411">
        <v>957470160</v>
      </c>
      <c r="H411" t="str">
        <f>IF(AND(Fact_Financials_Master[[#This Row],[Year_Quarter]]&gt;="2020-Q2", Fact_Financials_Master[[#This Row],[Year_Quarter]]&lt;="2021-Q2"), "CARES_Period", "Normal_Period")</f>
        <v>Normal_Period</v>
      </c>
    </row>
    <row r="412" spans="1:8" x14ac:dyDescent="0.25">
      <c r="A412" t="s">
        <v>54</v>
      </c>
      <c r="B412" s="1" t="s">
        <v>64</v>
      </c>
      <c r="C412">
        <v>445873</v>
      </c>
      <c r="D412">
        <v>80.513333333333335</v>
      </c>
      <c r="E412">
        <v>4679383</v>
      </c>
      <c r="F412">
        <v>-29593</v>
      </c>
      <c r="G412">
        <v>950126229</v>
      </c>
      <c r="H412" t="str">
        <f>IF(AND(Fact_Financials_Master[[#This Row],[Year_Quarter]]&gt;="2020-Q2", Fact_Financials_Master[[#This Row],[Year_Quarter]]&lt;="2021-Q2"), "CARES_Period", "Normal_Period")</f>
        <v>Normal_Period</v>
      </c>
    </row>
    <row r="413" spans="1:8" x14ac:dyDescent="0.25">
      <c r="A413" t="s">
        <v>53</v>
      </c>
      <c r="B413" s="1" t="s">
        <v>61</v>
      </c>
      <c r="C413">
        <v>97910</v>
      </c>
      <c r="D413">
        <v>70.72</v>
      </c>
      <c r="E413">
        <v>471883</v>
      </c>
      <c r="F413">
        <v>80454.48</v>
      </c>
      <c r="G413">
        <v>109643039</v>
      </c>
      <c r="H413" t="str">
        <f>IF(AND(Fact_Financials_Master[[#This Row],[Year_Quarter]]&gt;="2020-Q2", Fact_Financials_Master[[#This Row],[Year_Quarter]]&lt;="2021-Q2"), "CARES_Period", "Normal_Period")</f>
        <v>CARES_Period</v>
      </c>
    </row>
    <row r="414" spans="1:8" x14ac:dyDescent="0.25">
      <c r="A414" t="s">
        <v>30</v>
      </c>
      <c r="B414" s="1" t="s">
        <v>66</v>
      </c>
      <c r="C414">
        <v>267766</v>
      </c>
      <c r="D414">
        <v>86</v>
      </c>
      <c r="E414">
        <v>1514010</v>
      </c>
      <c r="F414">
        <v>432569</v>
      </c>
      <c r="G414">
        <v>206330579</v>
      </c>
      <c r="H414" t="str">
        <f>IF(AND(Fact_Financials_Master[[#This Row],[Year_Quarter]]&gt;="2020-Q2", Fact_Financials_Master[[#This Row],[Year_Quarter]]&lt;="2021-Q2"), "CARES_Period", "Normal_Period")</f>
        <v>Normal_Period</v>
      </c>
    </row>
    <row r="415" spans="1:8" x14ac:dyDescent="0.25">
      <c r="A415" t="s">
        <v>58</v>
      </c>
      <c r="B415" s="1" t="s">
        <v>65</v>
      </c>
      <c r="C415">
        <v>57227</v>
      </c>
      <c r="D415">
        <v>85.713333333333338</v>
      </c>
      <c r="E415">
        <v>2562323</v>
      </c>
      <c r="F415">
        <v>140260.09</v>
      </c>
      <c r="G415">
        <v>822400972</v>
      </c>
      <c r="H415" t="str">
        <f>IF(AND(Fact_Financials_Master[[#This Row],[Year_Quarter]]&gt;="2020-Q2", Fact_Financials_Master[[#This Row],[Year_Quarter]]&lt;="2021-Q2"), "CARES_Period", "Normal_Period")</f>
        <v>Normal_Period</v>
      </c>
    </row>
    <row r="416" spans="1:8" x14ac:dyDescent="0.25">
      <c r="A416" t="s">
        <v>30</v>
      </c>
      <c r="B416" s="1" t="s">
        <v>65</v>
      </c>
      <c r="C416">
        <v>198103</v>
      </c>
      <c r="D416">
        <v>85.1</v>
      </c>
      <c r="E416">
        <v>1687623</v>
      </c>
      <c r="F416">
        <v>349998.02</v>
      </c>
      <c r="G416">
        <v>342234477</v>
      </c>
      <c r="H416" t="str">
        <f>IF(AND(Fact_Financials_Master[[#This Row],[Year_Quarter]]&gt;="2020-Q2", Fact_Financials_Master[[#This Row],[Year_Quarter]]&lt;="2021-Q2"), "CARES_Period", "Normal_Period")</f>
        <v>Normal_Period</v>
      </c>
    </row>
    <row r="417" spans="1:8" x14ac:dyDescent="0.25">
      <c r="A417" t="s">
        <v>54</v>
      </c>
      <c r="B417" s="1" t="s">
        <v>61</v>
      </c>
      <c r="C417">
        <v>42398</v>
      </c>
      <c r="D417">
        <v>75.89</v>
      </c>
      <c r="E417">
        <v>459464</v>
      </c>
      <c r="F417">
        <v>20127.64</v>
      </c>
      <c r="G417">
        <v>118378857</v>
      </c>
      <c r="H417" t="str">
        <f>IF(AND(Fact_Financials_Master[[#This Row],[Year_Quarter]]&gt;="2020-Q2", Fact_Financials_Master[[#This Row],[Year_Quarter]]&lt;="2021-Q2"), "CARES_Period", "Normal_Period")</f>
        <v>Normal_Period</v>
      </c>
    </row>
    <row r="418" spans="1:8" x14ac:dyDescent="0.25">
      <c r="A418" t="s">
        <v>30</v>
      </c>
      <c r="B418" s="1" t="s">
        <v>62</v>
      </c>
      <c r="C418">
        <v>1319219</v>
      </c>
      <c r="D418">
        <v>87.873333333333335</v>
      </c>
      <c r="E418">
        <v>11130420</v>
      </c>
      <c r="F418">
        <v>2222326</v>
      </c>
      <c r="G418">
        <v>1719523213</v>
      </c>
      <c r="H418" t="str">
        <f>IF(AND(Fact_Financials_Master[[#This Row],[Year_Quarter]]&gt;="2020-Q2", Fact_Financials_Master[[#This Row],[Year_Quarter]]&lt;="2021-Q2"), "CARES_Period", "Normal_Period")</f>
        <v>Normal_Period</v>
      </c>
    </row>
    <row r="419" spans="1:8" x14ac:dyDescent="0.25">
      <c r="A419" t="s">
        <v>55</v>
      </c>
      <c r="B419" s="1" t="s">
        <v>61</v>
      </c>
      <c r="C419">
        <v>15687</v>
      </c>
      <c r="D419">
        <v>77.56</v>
      </c>
      <c r="E419">
        <v>496884</v>
      </c>
      <c r="F419">
        <v>36439</v>
      </c>
      <c r="G419">
        <v>129661849</v>
      </c>
      <c r="H419" t="str">
        <f>IF(AND(Fact_Financials_Master[[#This Row],[Year_Quarter]]&gt;="2020-Q2", Fact_Financials_Master[[#This Row],[Year_Quarter]]&lt;="2021-Q2"), "CARES_Period", "Normal_Period")</f>
        <v>Normal_Period</v>
      </c>
    </row>
    <row r="420" spans="1:8" x14ac:dyDescent="0.25">
      <c r="A420" t="s">
        <v>30</v>
      </c>
      <c r="B420" s="1" t="s">
        <v>68</v>
      </c>
      <c r="C420">
        <v>35547</v>
      </c>
      <c r="D420">
        <v>88.196666666666673</v>
      </c>
      <c r="E420">
        <v>417534</v>
      </c>
      <c r="F420">
        <v>94979.33</v>
      </c>
      <c r="G420">
        <v>84158764</v>
      </c>
      <c r="H420" t="str">
        <f>IF(AND(Fact_Financials_Master[[#This Row],[Year_Quarter]]&gt;="2020-Q2", Fact_Financials_Master[[#This Row],[Year_Quarter]]&lt;="2021-Q2"), "CARES_Period", "Normal_Period")</f>
        <v>Normal_Period</v>
      </c>
    </row>
    <row r="421" spans="1:8" x14ac:dyDescent="0.25">
      <c r="A421" t="s">
        <v>54</v>
      </c>
      <c r="B421" s="1" t="s">
        <v>68</v>
      </c>
      <c r="C421">
        <v>23360</v>
      </c>
      <c r="D421">
        <v>77.56</v>
      </c>
      <c r="E421">
        <v>630104</v>
      </c>
      <c r="F421">
        <v>-28941.8</v>
      </c>
      <c r="G421">
        <v>148057592</v>
      </c>
      <c r="H421" t="str">
        <f>IF(AND(Fact_Financials_Master[[#This Row],[Year_Quarter]]&gt;="2020-Q2", Fact_Financials_Master[[#This Row],[Year_Quarter]]&lt;="2021-Q2"), "CARES_Period", "Normal_Period")</f>
        <v>Normal_Period</v>
      </c>
    </row>
    <row r="422" spans="1:8" x14ac:dyDescent="0.25">
      <c r="A422" t="s">
        <v>56</v>
      </c>
      <c r="B422" s="1" t="s">
        <v>61</v>
      </c>
      <c r="C422">
        <v>-1579</v>
      </c>
      <c r="D422">
        <v>78.276666666666671</v>
      </c>
      <c r="E422">
        <v>500108</v>
      </c>
      <c r="F422">
        <v>10825.33</v>
      </c>
      <c r="G422">
        <v>164374130</v>
      </c>
      <c r="H422" t="str">
        <f>IF(AND(Fact_Financials_Master[[#This Row],[Year_Quarter]]&gt;="2020-Q2", Fact_Financials_Master[[#This Row],[Year_Quarter]]&lt;="2021-Q2"), "CARES_Period", "Normal_Period")</f>
        <v>Normal_Period</v>
      </c>
    </row>
    <row r="423" spans="1:8" x14ac:dyDescent="0.25">
      <c r="A423" t="s">
        <v>57</v>
      </c>
      <c r="B423" s="1" t="s">
        <v>61</v>
      </c>
      <c r="C423">
        <v>10784</v>
      </c>
      <c r="D423">
        <v>87.76</v>
      </c>
      <c r="E423">
        <v>629846</v>
      </c>
      <c r="F423">
        <v>28567.11</v>
      </c>
      <c r="G423">
        <v>257967087</v>
      </c>
      <c r="H423" t="str">
        <f>IF(AND(Fact_Financials_Master[[#This Row],[Year_Quarter]]&gt;="2020-Q2", Fact_Financials_Master[[#This Row],[Year_Quarter]]&lt;="2021-Q2"), "CARES_Period", "Normal_Period")</f>
        <v>Normal_Period</v>
      </c>
    </row>
    <row r="424" spans="1:8" x14ac:dyDescent="0.25">
      <c r="A424" t="s">
        <v>30</v>
      </c>
      <c r="B424" s="1" t="s">
        <v>67</v>
      </c>
      <c r="C424">
        <v>102823</v>
      </c>
      <c r="D424">
        <v>84.486666666666665</v>
      </c>
      <c r="E424">
        <v>574841</v>
      </c>
      <c r="F424">
        <v>157218.97</v>
      </c>
      <c r="G424">
        <v>115893112</v>
      </c>
      <c r="H424" t="str">
        <f>IF(AND(Fact_Financials_Master[[#This Row],[Year_Quarter]]&gt;="2020-Q2", Fact_Financials_Master[[#This Row],[Year_Quarter]]&lt;="2021-Q2"), "CARES_Period", "Normal_Period")</f>
        <v>Normal_Period</v>
      </c>
    </row>
    <row r="425" spans="1:8" x14ac:dyDescent="0.25">
      <c r="A425" t="s">
        <v>43</v>
      </c>
      <c r="B425" s="1" t="s">
        <v>63</v>
      </c>
      <c r="C425">
        <v>463487</v>
      </c>
      <c r="D425">
        <v>84.926666666666662</v>
      </c>
      <c r="E425">
        <v>10491647</v>
      </c>
      <c r="F425">
        <v>653144.14</v>
      </c>
      <c r="G425">
        <v>1873661603</v>
      </c>
      <c r="H425" t="str">
        <f>IF(AND(Fact_Financials_Master[[#This Row],[Year_Quarter]]&gt;="2020-Q2", Fact_Financials_Master[[#This Row],[Year_Quarter]]&lt;="2021-Q2"), "CARES_Period", "Normal_Period")</f>
        <v>Normal_Period</v>
      </c>
    </row>
    <row r="426" spans="1:8" x14ac:dyDescent="0.25">
      <c r="A426" t="s">
        <v>30</v>
      </c>
      <c r="B426" s="1" t="s">
        <v>63</v>
      </c>
      <c r="C426">
        <v>4775505</v>
      </c>
      <c r="D426">
        <v>87.64</v>
      </c>
      <c r="E426">
        <v>10305905</v>
      </c>
      <c r="F426">
        <v>1899591.2200000002</v>
      </c>
      <c r="G426">
        <v>1402038489</v>
      </c>
      <c r="H426" t="str">
        <f>IF(AND(Fact_Financials_Master[[#This Row],[Year_Quarter]]&gt;="2020-Q2", Fact_Financials_Master[[#This Row],[Year_Quarter]]&lt;="2021-Q2"), "CARES_Period", "Normal_Period")</f>
        <v>Normal_Period</v>
      </c>
    </row>
    <row r="427" spans="1:8" x14ac:dyDescent="0.25">
      <c r="A427" t="s">
        <v>58</v>
      </c>
      <c r="B427" s="1" t="s">
        <v>61</v>
      </c>
      <c r="C427">
        <v>-3902</v>
      </c>
      <c r="D427">
        <v>88.74</v>
      </c>
      <c r="E427">
        <v>560323</v>
      </c>
      <c r="F427">
        <v>7443.17</v>
      </c>
      <c r="G427">
        <v>207927066</v>
      </c>
      <c r="H427" t="str">
        <f>IF(AND(Fact_Financials_Master[[#This Row],[Year_Quarter]]&gt;="2020-Q2", Fact_Financials_Master[[#This Row],[Year_Quarter]]&lt;="2021-Q2"), "CARES_Period", "Normal_Period")</f>
        <v>Normal_Period</v>
      </c>
    </row>
    <row r="428" spans="1:8" x14ac:dyDescent="0.25">
      <c r="A428" t="s">
        <v>30</v>
      </c>
      <c r="B428" s="1" t="s">
        <v>64</v>
      </c>
      <c r="C428">
        <v>584354</v>
      </c>
      <c r="D428">
        <v>85.303333333333327</v>
      </c>
      <c r="E428">
        <v>5317924</v>
      </c>
      <c r="F428">
        <v>1224900</v>
      </c>
      <c r="G428">
        <v>889476837</v>
      </c>
      <c r="H428" t="str">
        <f>IF(AND(Fact_Financials_Master[[#This Row],[Year_Quarter]]&gt;="2020-Q2", Fact_Financials_Master[[#This Row],[Year_Quarter]]&lt;="2021-Q2"), "CARES_Period", "Normal_Period")</f>
        <v>Normal_Period</v>
      </c>
    </row>
    <row r="429" spans="1:8" x14ac:dyDescent="0.25">
      <c r="A429" t="s">
        <v>59</v>
      </c>
      <c r="B429" s="1" t="s">
        <v>61</v>
      </c>
      <c r="C429">
        <v>61358</v>
      </c>
      <c r="D429">
        <v>85.976666666666674</v>
      </c>
      <c r="E429">
        <v>611549</v>
      </c>
      <c r="F429">
        <v>92700.07</v>
      </c>
      <c r="G429">
        <v>184985095</v>
      </c>
      <c r="H429" t="str">
        <f>IF(AND(Fact_Financials_Master[[#This Row],[Year_Quarter]]&gt;="2020-Q2", Fact_Financials_Master[[#This Row],[Year_Quarter]]&lt;="2021-Q2"), "CARES_Period", "Normal_Period")</f>
        <v>Normal_Period</v>
      </c>
    </row>
    <row r="430" spans="1:8" x14ac:dyDescent="0.25">
      <c r="A430" t="s">
        <v>31</v>
      </c>
      <c r="B430" s="1" t="s">
        <v>66</v>
      </c>
      <c r="C430">
        <v>186933</v>
      </c>
      <c r="D430">
        <v>83.066666666666663</v>
      </c>
      <c r="E430">
        <v>1376432</v>
      </c>
      <c r="F430">
        <v>258046</v>
      </c>
      <c r="G430">
        <v>185059411</v>
      </c>
      <c r="H430" t="str">
        <f>IF(AND(Fact_Financials_Master[[#This Row],[Year_Quarter]]&gt;="2020-Q2", Fact_Financials_Master[[#This Row],[Year_Quarter]]&lt;="2021-Q2"), "CARES_Period", "Normal_Period")</f>
        <v>Normal_Period</v>
      </c>
    </row>
    <row r="431" spans="1:8" x14ac:dyDescent="0.25">
      <c r="A431" t="s">
        <v>31</v>
      </c>
      <c r="B431" s="1" t="s">
        <v>62</v>
      </c>
      <c r="C431">
        <v>987477</v>
      </c>
      <c r="D431">
        <v>87.33</v>
      </c>
      <c r="E431">
        <v>9549581</v>
      </c>
      <c r="F431">
        <v>1721657</v>
      </c>
      <c r="G431">
        <v>1524080755</v>
      </c>
      <c r="H431" t="str">
        <f>IF(AND(Fact_Financials_Master[[#This Row],[Year_Quarter]]&gt;="2020-Q2", Fact_Financials_Master[[#This Row],[Year_Quarter]]&lt;="2021-Q2"), "CARES_Period", "Normal_Period")</f>
        <v>Normal_Period</v>
      </c>
    </row>
    <row r="432" spans="1:8" x14ac:dyDescent="0.25">
      <c r="A432" t="s">
        <v>31</v>
      </c>
      <c r="B432" s="1" t="s">
        <v>65</v>
      </c>
      <c r="C432">
        <v>190007</v>
      </c>
      <c r="D432">
        <v>84.14</v>
      </c>
      <c r="E432">
        <v>1593496</v>
      </c>
      <c r="F432">
        <v>322799.28999999998</v>
      </c>
      <c r="G432">
        <v>299377467</v>
      </c>
      <c r="H432" t="str">
        <f>IF(AND(Fact_Financials_Master[[#This Row],[Year_Quarter]]&gt;="2020-Q2", Fact_Financials_Master[[#This Row],[Year_Quarter]]&lt;="2021-Q2"), "CARES_Period", "Normal_Period")</f>
        <v>Normal_Period</v>
      </c>
    </row>
    <row r="433" spans="1:8" x14ac:dyDescent="0.25">
      <c r="A433" t="s">
        <v>35</v>
      </c>
      <c r="B433" s="1" t="s">
        <v>63</v>
      </c>
      <c r="C433">
        <v>396936</v>
      </c>
      <c r="D433">
        <v>85.38333333333334</v>
      </c>
      <c r="E433">
        <v>9051740</v>
      </c>
      <c r="F433">
        <v>1006184.22</v>
      </c>
      <c r="G433">
        <v>1194549320</v>
      </c>
      <c r="H433" t="str">
        <f>IF(AND(Fact_Financials_Master[[#This Row],[Year_Quarter]]&gt;="2020-Q2", Fact_Financials_Master[[#This Row],[Year_Quarter]]&lt;="2021-Q2"), "CARES_Period", "Normal_Period")</f>
        <v>Normal_Period</v>
      </c>
    </row>
    <row r="434" spans="1:8" x14ac:dyDescent="0.25">
      <c r="A434" t="s">
        <v>31</v>
      </c>
      <c r="B434" s="1" t="s">
        <v>68</v>
      </c>
      <c r="C434">
        <v>19445</v>
      </c>
      <c r="D434">
        <v>88.036666666666676</v>
      </c>
      <c r="E434">
        <v>404132</v>
      </c>
      <c r="F434">
        <v>39802.76</v>
      </c>
      <c r="G434">
        <v>70306431</v>
      </c>
      <c r="H434" t="str">
        <f>IF(AND(Fact_Financials_Master[[#This Row],[Year_Quarter]]&gt;="2020-Q2", Fact_Financials_Master[[#This Row],[Year_Quarter]]&lt;="2021-Q2"), "CARES_Period", "Normal_Period")</f>
        <v>Normal_Period</v>
      </c>
    </row>
    <row r="435" spans="1:8" x14ac:dyDescent="0.25">
      <c r="A435" t="s">
        <v>31</v>
      </c>
      <c r="B435" s="1" t="s">
        <v>67</v>
      </c>
      <c r="C435">
        <v>78781</v>
      </c>
      <c r="D435">
        <v>82.673333333333332</v>
      </c>
      <c r="E435">
        <v>519846</v>
      </c>
      <c r="F435">
        <v>120336.92000000001</v>
      </c>
      <c r="G435">
        <v>105215216</v>
      </c>
      <c r="H435" t="str">
        <f>IF(AND(Fact_Financials_Master[[#This Row],[Year_Quarter]]&gt;="2020-Q2", Fact_Financials_Master[[#This Row],[Year_Quarter]]&lt;="2021-Q2"), "CARES_Period", "Normal_Period")</f>
        <v>Normal_Period</v>
      </c>
    </row>
    <row r="436" spans="1:8" x14ac:dyDescent="0.25">
      <c r="A436" t="s">
        <v>31</v>
      </c>
      <c r="B436" s="1" t="s">
        <v>63</v>
      </c>
      <c r="C436">
        <v>823605</v>
      </c>
      <c r="D436">
        <v>86.05</v>
      </c>
      <c r="E436">
        <v>9036289</v>
      </c>
      <c r="F436">
        <v>1081373.6499999999</v>
      </c>
      <c r="G436">
        <v>1108565113</v>
      </c>
      <c r="H436" t="str">
        <f>IF(AND(Fact_Financials_Master[[#This Row],[Year_Quarter]]&gt;="2020-Q2", Fact_Financials_Master[[#This Row],[Year_Quarter]]&lt;="2021-Q2"), "CARES_Period", "Normal_Period")</f>
        <v>Normal_Period</v>
      </c>
    </row>
    <row r="437" spans="1:8" x14ac:dyDescent="0.25">
      <c r="A437" t="s">
        <v>31</v>
      </c>
      <c r="B437" s="1" t="s">
        <v>64</v>
      </c>
      <c r="C437">
        <v>535958</v>
      </c>
      <c r="D437">
        <v>84.23</v>
      </c>
      <c r="E437">
        <v>4977318</v>
      </c>
      <c r="F437">
        <v>1026205</v>
      </c>
      <c r="G437">
        <v>753795995</v>
      </c>
      <c r="H437" t="str">
        <f>IF(AND(Fact_Financials_Master[[#This Row],[Year_Quarter]]&gt;="2020-Q2", Fact_Financials_Master[[#This Row],[Year_Quarter]]&lt;="2021-Q2"), "CARES_Period", "Normal_Period")</f>
        <v>Normal_Period</v>
      </c>
    </row>
    <row r="438" spans="1:8" x14ac:dyDescent="0.25">
      <c r="A438" t="s">
        <v>53</v>
      </c>
      <c r="B438" s="1" t="s">
        <v>67</v>
      </c>
      <c r="C438">
        <v>-287863</v>
      </c>
      <c r="D438">
        <v>85.033333333333331</v>
      </c>
      <c r="E438">
        <v>859309</v>
      </c>
      <c r="F438">
        <v>-22362.27</v>
      </c>
      <c r="G438">
        <v>214824639</v>
      </c>
      <c r="H438" t="str">
        <f>IF(AND(Fact_Financials_Master[[#This Row],[Year_Quarter]]&gt;="2020-Q2", Fact_Financials_Master[[#This Row],[Year_Quarter]]&lt;="2021-Q2"), "CARES_Period", "Normal_Period")</f>
        <v>CARES_Period</v>
      </c>
    </row>
    <row r="439" spans="1:8" x14ac:dyDescent="0.25">
      <c r="A439" t="s">
        <v>32</v>
      </c>
      <c r="B439" s="1" t="s">
        <v>66</v>
      </c>
      <c r="C439">
        <v>185275</v>
      </c>
      <c r="D439">
        <v>82.573333333333338</v>
      </c>
      <c r="E439">
        <v>1345762</v>
      </c>
      <c r="F439">
        <v>298847</v>
      </c>
      <c r="G439">
        <v>139669839</v>
      </c>
      <c r="H439" t="str">
        <f>IF(AND(Fact_Financials_Master[[#This Row],[Year_Quarter]]&gt;="2020-Q2", Fact_Financials_Master[[#This Row],[Year_Quarter]]&lt;="2021-Q2"), "CARES_Period", "Normal_Period")</f>
        <v>Normal_Period</v>
      </c>
    </row>
    <row r="440" spans="1:8" x14ac:dyDescent="0.25">
      <c r="A440" t="s">
        <v>32</v>
      </c>
      <c r="B440" s="1" t="s">
        <v>65</v>
      </c>
      <c r="C440">
        <v>199459</v>
      </c>
      <c r="D440">
        <v>84.346666666666664</v>
      </c>
      <c r="E440">
        <v>1616361</v>
      </c>
      <c r="F440">
        <v>348927.07</v>
      </c>
      <c r="G440">
        <v>214814269</v>
      </c>
      <c r="H440" t="str">
        <f>IF(AND(Fact_Financials_Master[[#This Row],[Year_Quarter]]&gt;="2020-Q2", Fact_Financials_Master[[#This Row],[Year_Quarter]]&lt;="2021-Q2"), "CARES_Period", "Normal_Period")</f>
        <v>Normal_Period</v>
      </c>
    </row>
    <row r="441" spans="1:8" x14ac:dyDescent="0.25">
      <c r="A441" t="s">
        <v>57</v>
      </c>
      <c r="B441" s="1" t="s">
        <v>68</v>
      </c>
      <c r="C441">
        <v>16407</v>
      </c>
      <c r="D441">
        <v>85.823333333333338</v>
      </c>
      <c r="E441">
        <v>908531</v>
      </c>
      <c r="F441">
        <v>11426.219999999998</v>
      </c>
      <c r="G441">
        <v>311970615</v>
      </c>
      <c r="H441" t="str">
        <f>IF(AND(Fact_Financials_Master[[#This Row],[Year_Quarter]]&gt;="2020-Q2", Fact_Financials_Master[[#This Row],[Year_Quarter]]&lt;="2021-Q2"), "CARES_Period", "Normal_Period")</f>
        <v>Normal_Period</v>
      </c>
    </row>
    <row r="442" spans="1:8" x14ac:dyDescent="0.25">
      <c r="A442" t="s">
        <v>32</v>
      </c>
      <c r="B442" s="1" t="s">
        <v>62</v>
      </c>
      <c r="C442">
        <v>955182</v>
      </c>
      <c r="D442">
        <v>84.14</v>
      </c>
      <c r="E442">
        <v>9295664</v>
      </c>
      <c r="F442">
        <v>1544323</v>
      </c>
      <c r="G442">
        <v>1071999368</v>
      </c>
      <c r="H442" t="str">
        <f>IF(AND(Fact_Financials_Master[[#This Row],[Year_Quarter]]&gt;="2020-Q2", Fact_Financials_Master[[#This Row],[Year_Quarter]]&lt;="2021-Q2"), "CARES_Period", "Normal_Period")</f>
        <v>Normal_Period</v>
      </c>
    </row>
    <row r="443" spans="1:8" x14ac:dyDescent="0.25">
      <c r="A443" t="s">
        <v>32</v>
      </c>
      <c r="B443" s="1" t="s">
        <v>68</v>
      </c>
      <c r="C443">
        <v>38530</v>
      </c>
      <c r="D443">
        <v>87.813333333333333</v>
      </c>
      <c r="E443">
        <v>368125</v>
      </c>
      <c r="F443">
        <v>62179.08</v>
      </c>
      <c r="G443">
        <v>49038043</v>
      </c>
      <c r="H443" t="str">
        <f>IF(AND(Fact_Financials_Master[[#This Row],[Year_Quarter]]&gt;="2020-Q2", Fact_Financials_Master[[#This Row],[Year_Quarter]]&lt;="2021-Q2"), "CARES_Period", "Normal_Period")</f>
        <v>Normal_Period</v>
      </c>
    </row>
    <row r="444" spans="1:8" x14ac:dyDescent="0.25">
      <c r="A444" t="s">
        <v>39</v>
      </c>
      <c r="B444" s="1" t="s">
        <v>63</v>
      </c>
      <c r="C444">
        <v>596853</v>
      </c>
      <c r="D444">
        <v>85.516666666666666</v>
      </c>
      <c r="E444">
        <v>9438506</v>
      </c>
      <c r="F444">
        <v>728842.20000000007</v>
      </c>
      <c r="G444">
        <v>1487211979</v>
      </c>
      <c r="H444" t="str">
        <f>IF(AND(Fact_Financials_Master[[#This Row],[Year_Quarter]]&gt;="2020-Q2", Fact_Financials_Master[[#This Row],[Year_Quarter]]&lt;="2021-Q2"), "CARES_Period", "Normal_Period")</f>
        <v>Normal_Period</v>
      </c>
    </row>
    <row r="445" spans="1:8" x14ac:dyDescent="0.25">
      <c r="A445" t="s">
        <v>32</v>
      </c>
      <c r="B445" s="1" t="s">
        <v>67</v>
      </c>
      <c r="C445">
        <v>61920</v>
      </c>
      <c r="D445">
        <v>84.963333333333338</v>
      </c>
      <c r="E445">
        <v>538143</v>
      </c>
      <c r="F445">
        <v>101299.4</v>
      </c>
      <c r="G445">
        <v>85980529</v>
      </c>
      <c r="H445" t="str">
        <f>IF(AND(Fact_Financials_Master[[#This Row],[Year_Quarter]]&gt;="2020-Q2", Fact_Financials_Master[[#This Row],[Year_Quarter]]&lt;="2021-Q2"), "CARES_Period", "Normal_Period")</f>
        <v>Normal_Period</v>
      </c>
    </row>
    <row r="446" spans="1:8" x14ac:dyDescent="0.25">
      <c r="A446" t="s">
        <v>32</v>
      </c>
      <c r="B446" s="1" t="s">
        <v>64</v>
      </c>
      <c r="C446">
        <v>511338</v>
      </c>
      <c r="D446">
        <v>80.373333333333335</v>
      </c>
      <c r="E446">
        <v>4826319</v>
      </c>
      <c r="F446">
        <v>943814</v>
      </c>
      <c r="G446">
        <v>814708672</v>
      </c>
      <c r="H446" t="str">
        <f>IF(AND(Fact_Financials_Master[[#This Row],[Year_Quarter]]&gt;="2020-Q2", Fact_Financials_Master[[#This Row],[Year_Quarter]]&lt;="2021-Q2"), "CARES_Period", "Normal_Period")</f>
        <v>Normal_Period</v>
      </c>
    </row>
    <row r="447" spans="1:8" x14ac:dyDescent="0.25">
      <c r="A447" t="s">
        <v>33</v>
      </c>
      <c r="B447" s="1" t="s">
        <v>66</v>
      </c>
      <c r="C447">
        <v>263872</v>
      </c>
      <c r="D447">
        <v>85.733333333333334</v>
      </c>
      <c r="E447">
        <v>1493283</v>
      </c>
      <c r="F447">
        <v>417763</v>
      </c>
      <c r="G447">
        <v>175168136</v>
      </c>
      <c r="H447" t="str">
        <f>IF(AND(Fact_Financials_Master[[#This Row],[Year_Quarter]]&gt;="2020-Q2", Fact_Financials_Master[[#This Row],[Year_Quarter]]&lt;="2021-Q2"), "CARES_Period", "Normal_Period")</f>
        <v>Normal_Period</v>
      </c>
    </row>
    <row r="448" spans="1:8" x14ac:dyDescent="0.25">
      <c r="A448" t="s">
        <v>33</v>
      </c>
      <c r="B448" s="1" t="s">
        <v>65</v>
      </c>
      <c r="C448">
        <v>180169</v>
      </c>
      <c r="D448">
        <v>85.553333333333342</v>
      </c>
      <c r="E448">
        <v>1643409</v>
      </c>
      <c r="F448">
        <v>310026.98</v>
      </c>
      <c r="G448">
        <v>274132304</v>
      </c>
      <c r="H448" t="str">
        <f>IF(AND(Fact_Financials_Master[[#This Row],[Year_Quarter]]&gt;="2020-Q2", Fact_Financials_Master[[#This Row],[Year_Quarter]]&lt;="2021-Q2"), "CARES_Period", "Normal_Period")</f>
        <v>Normal_Period</v>
      </c>
    </row>
    <row r="449" spans="1:8" x14ac:dyDescent="0.25">
      <c r="A449" t="s">
        <v>37</v>
      </c>
      <c r="B449" s="1" t="s">
        <v>63</v>
      </c>
      <c r="C449">
        <v>818180</v>
      </c>
      <c r="D449">
        <v>87.710000000000008</v>
      </c>
      <c r="E449">
        <v>9999723</v>
      </c>
      <c r="F449">
        <v>1399762.15</v>
      </c>
      <c r="G449">
        <v>1328803334</v>
      </c>
      <c r="H449" t="str">
        <f>IF(AND(Fact_Financials_Master[[#This Row],[Year_Quarter]]&gt;="2020-Q2", Fact_Financials_Master[[#This Row],[Year_Quarter]]&lt;="2021-Q2"), "CARES_Period", "Normal_Period")</f>
        <v>Normal_Period</v>
      </c>
    </row>
    <row r="450" spans="1:8" x14ac:dyDescent="0.25">
      <c r="A450" t="s">
        <v>33</v>
      </c>
      <c r="B450" s="1" t="s">
        <v>62</v>
      </c>
      <c r="C450">
        <v>1552513</v>
      </c>
      <c r="D450">
        <v>87.58</v>
      </c>
      <c r="E450">
        <v>10502902</v>
      </c>
      <c r="F450">
        <v>2423691</v>
      </c>
      <c r="G450">
        <v>1845114616</v>
      </c>
      <c r="H450" t="str">
        <f>IF(AND(Fact_Financials_Master[[#This Row],[Year_Quarter]]&gt;="2020-Q2", Fact_Financials_Master[[#This Row],[Year_Quarter]]&lt;="2021-Q2"), "CARES_Period", "Normal_Period")</f>
        <v>Normal_Period</v>
      </c>
    </row>
    <row r="451" spans="1:8" x14ac:dyDescent="0.25">
      <c r="A451" t="s">
        <v>33</v>
      </c>
      <c r="B451" s="1" t="s">
        <v>68</v>
      </c>
      <c r="C451">
        <v>52423</v>
      </c>
      <c r="D451">
        <v>87.563333333333333</v>
      </c>
      <c r="E451">
        <v>420351</v>
      </c>
      <c r="F451">
        <v>83986.15</v>
      </c>
      <c r="G451">
        <v>66737695</v>
      </c>
      <c r="H451" t="str">
        <f>IF(AND(Fact_Financials_Master[[#This Row],[Year_Quarter]]&gt;="2020-Q2", Fact_Financials_Master[[#This Row],[Year_Quarter]]&lt;="2021-Q2"), "CARES_Period", "Normal_Period")</f>
        <v>Normal_Period</v>
      </c>
    </row>
    <row r="452" spans="1:8" x14ac:dyDescent="0.25">
      <c r="A452" t="s">
        <v>33</v>
      </c>
      <c r="B452" s="1" t="s">
        <v>63</v>
      </c>
      <c r="C452">
        <v>588122</v>
      </c>
      <c r="D452">
        <v>86.806666666666672</v>
      </c>
      <c r="E452">
        <v>9395665</v>
      </c>
      <c r="F452">
        <v>1060392.6299999999</v>
      </c>
      <c r="G452">
        <v>1102857659</v>
      </c>
      <c r="H452" t="str">
        <f>IF(AND(Fact_Financials_Master[[#This Row],[Year_Quarter]]&gt;="2020-Q2", Fact_Financials_Master[[#This Row],[Year_Quarter]]&lt;="2021-Q2"), "CARES_Period", "Normal_Period")</f>
        <v>Normal_Period</v>
      </c>
    </row>
    <row r="453" spans="1:8" x14ac:dyDescent="0.25">
      <c r="A453" t="s">
        <v>33</v>
      </c>
      <c r="B453" s="1" t="s">
        <v>67</v>
      </c>
      <c r="C453">
        <v>73084</v>
      </c>
      <c r="D453">
        <v>85.84</v>
      </c>
      <c r="E453">
        <v>584133</v>
      </c>
      <c r="F453">
        <v>121834.90999999999</v>
      </c>
      <c r="G453">
        <v>113191663</v>
      </c>
      <c r="H453" t="str">
        <f>IF(AND(Fact_Financials_Master[[#This Row],[Year_Quarter]]&gt;="2020-Q2", Fact_Financials_Master[[#This Row],[Year_Quarter]]&lt;="2021-Q2"), "CARES_Period", "Normal_Period")</f>
        <v>Normal_Period</v>
      </c>
    </row>
    <row r="454" spans="1:8" x14ac:dyDescent="0.25">
      <c r="A454" t="s">
        <v>55</v>
      </c>
      <c r="B454" s="1" t="s">
        <v>66</v>
      </c>
      <c r="C454">
        <v>22674</v>
      </c>
      <c r="D454">
        <v>79.083333333333329</v>
      </c>
      <c r="E454">
        <v>1897226</v>
      </c>
      <c r="F454">
        <v>56885</v>
      </c>
      <c r="G454">
        <v>371037864</v>
      </c>
      <c r="H454" t="str">
        <f>IF(AND(Fact_Financials_Master[[#This Row],[Year_Quarter]]&gt;="2020-Q2", Fact_Financials_Master[[#This Row],[Year_Quarter]]&lt;="2021-Q2"), "CARES_Period", "Normal_Period")</f>
        <v>Normal_Period</v>
      </c>
    </row>
    <row r="455" spans="1:8" x14ac:dyDescent="0.25">
      <c r="A455" t="s">
        <v>33</v>
      </c>
      <c r="B455" s="1" t="s">
        <v>64</v>
      </c>
      <c r="C455">
        <v>820063</v>
      </c>
      <c r="D455">
        <v>85.67</v>
      </c>
      <c r="E455">
        <v>5384150</v>
      </c>
      <c r="F455">
        <v>1275954</v>
      </c>
      <c r="G455">
        <v>858911846</v>
      </c>
      <c r="H455" t="str">
        <f>IF(AND(Fact_Financials_Master[[#This Row],[Year_Quarter]]&gt;="2020-Q2", Fact_Financials_Master[[#This Row],[Year_Quarter]]&lt;="2021-Q2"), "CARES_Period", "Normal_Period")</f>
        <v>Normal_Period</v>
      </c>
    </row>
    <row r="456" spans="1:8" x14ac:dyDescent="0.25">
      <c r="A456" t="s">
        <v>34</v>
      </c>
      <c r="B456" s="1" t="s">
        <v>62</v>
      </c>
      <c r="C456">
        <v>1269304</v>
      </c>
      <c r="D456">
        <v>85.94</v>
      </c>
      <c r="E456">
        <v>10539944</v>
      </c>
      <c r="F456">
        <v>1979077</v>
      </c>
      <c r="G456">
        <v>1399169071</v>
      </c>
      <c r="H456" t="str">
        <f>IF(AND(Fact_Financials_Master[[#This Row],[Year_Quarter]]&gt;="2020-Q2", Fact_Financials_Master[[#This Row],[Year_Quarter]]&lt;="2021-Q2"), "CARES_Period", "Normal_Period")</f>
        <v>Normal_Period</v>
      </c>
    </row>
    <row r="457" spans="1:8" x14ac:dyDescent="0.25">
      <c r="A457" t="s">
        <v>35</v>
      </c>
      <c r="B457" s="1" t="s">
        <v>62</v>
      </c>
      <c r="C457">
        <v>632847</v>
      </c>
      <c r="D457">
        <v>87.72</v>
      </c>
      <c r="E457">
        <v>9511103</v>
      </c>
      <c r="F457">
        <v>1029340</v>
      </c>
      <c r="G457">
        <v>1297974142</v>
      </c>
      <c r="H457" t="str">
        <f>IF(AND(Fact_Financials_Master[[#This Row],[Year_Quarter]]&gt;="2020-Q2", Fact_Financials_Master[[#This Row],[Year_Quarter]]&lt;="2021-Q2"), "CARES_Period", "Normal_Period")</f>
        <v>Normal_Period</v>
      </c>
    </row>
    <row r="458" spans="1:8" x14ac:dyDescent="0.25">
      <c r="A458" t="s">
        <v>34</v>
      </c>
      <c r="B458" s="1" t="s">
        <v>66</v>
      </c>
      <c r="C458">
        <v>265253</v>
      </c>
      <c r="D458">
        <v>86.356666666666669</v>
      </c>
      <c r="E458">
        <v>1565294</v>
      </c>
      <c r="F458">
        <v>422644</v>
      </c>
      <c r="G458">
        <v>183956998</v>
      </c>
      <c r="H458" t="str">
        <f>IF(AND(Fact_Financials_Master[[#This Row],[Year_Quarter]]&gt;="2020-Q2", Fact_Financials_Master[[#This Row],[Year_Quarter]]&lt;="2021-Q2"), "CARES_Period", "Normal_Period")</f>
        <v>Normal_Period</v>
      </c>
    </row>
    <row r="459" spans="1:8" x14ac:dyDescent="0.25">
      <c r="A459" t="s">
        <v>59</v>
      </c>
      <c r="B459" s="1" t="s">
        <v>66</v>
      </c>
      <c r="C459">
        <v>58244</v>
      </c>
      <c r="D459">
        <v>85.553333333333327</v>
      </c>
      <c r="E459">
        <v>2478193</v>
      </c>
      <c r="F459">
        <v>73734</v>
      </c>
      <c r="G459">
        <v>577849746</v>
      </c>
      <c r="H459" t="str">
        <f>IF(AND(Fact_Financials_Master[[#This Row],[Year_Quarter]]&gt;="2020-Q2", Fact_Financials_Master[[#This Row],[Year_Quarter]]&lt;="2021-Q2"), "CARES_Period", "Normal_Period")</f>
        <v>Normal_Period</v>
      </c>
    </row>
    <row r="460" spans="1:8" x14ac:dyDescent="0.25">
      <c r="A460" t="s">
        <v>34</v>
      </c>
      <c r="B460" s="1" t="s">
        <v>65</v>
      </c>
      <c r="C460">
        <v>198980</v>
      </c>
      <c r="D460">
        <v>86.256666666666661</v>
      </c>
      <c r="E460">
        <v>1731713</v>
      </c>
      <c r="F460">
        <v>354436.89</v>
      </c>
      <c r="G460">
        <v>293095566</v>
      </c>
      <c r="H460" t="str">
        <f>IF(AND(Fact_Financials_Master[[#This Row],[Year_Quarter]]&gt;="2020-Q2", Fact_Financials_Master[[#This Row],[Year_Quarter]]&lt;="2021-Q2"), "CARES_Period", "Normal_Period")</f>
        <v>Normal_Period</v>
      </c>
    </row>
    <row r="461" spans="1:8" x14ac:dyDescent="0.25">
      <c r="A461" t="s">
        <v>36</v>
      </c>
      <c r="B461" s="1" t="s">
        <v>62</v>
      </c>
      <c r="C461">
        <v>615913</v>
      </c>
      <c r="D461">
        <v>84.786666666666676</v>
      </c>
      <c r="E461">
        <v>9196079</v>
      </c>
      <c r="F461">
        <v>1067917</v>
      </c>
      <c r="G461">
        <v>1323697231</v>
      </c>
      <c r="H461" t="str">
        <f>IF(AND(Fact_Financials_Master[[#This Row],[Year_Quarter]]&gt;="2020-Q2", Fact_Financials_Master[[#This Row],[Year_Quarter]]&lt;="2021-Q2"), "CARES_Period", "Normal_Period")</f>
        <v>Normal_Period</v>
      </c>
    </row>
    <row r="462" spans="1:8" x14ac:dyDescent="0.25">
      <c r="A462" t="s">
        <v>37</v>
      </c>
      <c r="B462" s="1" t="s">
        <v>62</v>
      </c>
      <c r="C462">
        <v>1235513</v>
      </c>
      <c r="D462">
        <v>88.176666666666662</v>
      </c>
      <c r="E462">
        <v>10854712</v>
      </c>
      <c r="F462">
        <v>2036048</v>
      </c>
      <c r="G462">
        <v>1500167625</v>
      </c>
      <c r="H462" t="str">
        <f>IF(AND(Fact_Financials_Master[[#This Row],[Year_Quarter]]&gt;="2020-Q2", Fact_Financials_Master[[#This Row],[Year_Quarter]]&lt;="2021-Q2"), "CARES_Period", "Normal_Period")</f>
        <v>Normal_Period</v>
      </c>
    </row>
    <row r="463" spans="1:8" x14ac:dyDescent="0.25">
      <c r="A463" t="s">
        <v>34</v>
      </c>
      <c r="B463" s="1" t="s">
        <v>68</v>
      </c>
      <c r="C463">
        <v>78945</v>
      </c>
      <c r="D463">
        <v>88.213333333333324</v>
      </c>
      <c r="E463">
        <v>490626</v>
      </c>
      <c r="F463">
        <v>125527.89</v>
      </c>
      <c r="G463">
        <v>80300664</v>
      </c>
      <c r="H463" t="str">
        <f>IF(AND(Fact_Financials_Master[[#This Row],[Year_Quarter]]&gt;="2020-Q2", Fact_Financials_Master[[#This Row],[Year_Quarter]]&lt;="2021-Q2"), "CARES_Period", "Normal_Period")</f>
        <v>Normal_Period</v>
      </c>
    </row>
    <row r="464" spans="1:8" x14ac:dyDescent="0.25">
      <c r="A464" t="s">
        <v>38</v>
      </c>
      <c r="B464" s="1" t="s">
        <v>62</v>
      </c>
      <c r="C464">
        <v>1191398</v>
      </c>
      <c r="D464">
        <v>87.13000000000001</v>
      </c>
      <c r="E464">
        <v>11125371</v>
      </c>
      <c r="F464">
        <v>1847431</v>
      </c>
      <c r="G464">
        <v>1592958007</v>
      </c>
      <c r="H464" t="str">
        <f>IF(AND(Fact_Financials_Master[[#This Row],[Year_Quarter]]&gt;="2020-Q2", Fact_Financials_Master[[#This Row],[Year_Quarter]]&lt;="2021-Q2"), "CARES_Period", "Normal_Period")</f>
        <v>Normal_Period</v>
      </c>
    </row>
    <row r="465" spans="1:8" x14ac:dyDescent="0.25">
      <c r="A465" t="s">
        <v>39</v>
      </c>
      <c r="B465" s="1" t="s">
        <v>62</v>
      </c>
      <c r="C465">
        <v>591546</v>
      </c>
      <c r="D465">
        <v>87.053333333333342</v>
      </c>
      <c r="E465">
        <v>10299698</v>
      </c>
      <c r="F465">
        <v>1198336</v>
      </c>
      <c r="G465">
        <v>1574804231</v>
      </c>
      <c r="H465" t="str">
        <f>IF(AND(Fact_Financials_Master[[#This Row],[Year_Quarter]]&gt;="2020-Q2", Fact_Financials_Master[[#This Row],[Year_Quarter]]&lt;="2021-Q2"), "CARES_Period", "Normal_Period")</f>
        <v>Normal_Period</v>
      </c>
    </row>
    <row r="466" spans="1:8" x14ac:dyDescent="0.25">
      <c r="A466" t="s">
        <v>40</v>
      </c>
      <c r="B466" s="1" t="s">
        <v>66</v>
      </c>
      <c r="C466">
        <v>15868</v>
      </c>
      <c r="D466">
        <v>80.846666666666664</v>
      </c>
      <c r="E466">
        <v>1831218</v>
      </c>
      <c r="F466">
        <v>14013</v>
      </c>
      <c r="G466">
        <v>367319738</v>
      </c>
      <c r="H466" t="str">
        <f>IF(AND(Fact_Financials_Master[[#This Row],[Year_Quarter]]&gt;="2020-Q2", Fact_Financials_Master[[#This Row],[Year_Quarter]]&lt;="2021-Q2"), "CARES_Period", "Normal_Period")</f>
        <v>Normal_Period</v>
      </c>
    </row>
    <row r="467" spans="1:8" x14ac:dyDescent="0.25">
      <c r="A467" t="s">
        <v>34</v>
      </c>
      <c r="B467" s="1" t="s">
        <v>67</v>
      </c>
      <c r="C467">
        <v>81382</v>
      </c>
      <c r="D467">
        <v>86.02</v>
      </c>
      <c r="E467">
        <v>621329</v>
      </c>
      <c r="F467">
        <v>135215.95000000001</v>
      </c>
      <c r="G467">
        <v>121843860</v>
      </c>
      <c r="H467" t="str">
        <f>IF(AND(Fact_Financials_Master[[#This Row],[Year_Quarter]]&gt;="2020-Q2", Fact_Financials_Master[[#This Row],[Year_Quarter]]&lt;="2021-Q2"), "CARES_Period", "Normal_Period")</f>
        <v>Normal_Period</v>
      </c>
    </row>
    <row r="468" spans="1:8" x14ac:dyDescent="0.25">
      <c r="A468" t="s">
        <v>40</v>
      </c>
      <c r="B468" s="1" t="s">
        <v>62</v>
      </c>
      <c r="C468">
        <v>583855</v>
      </c>
      <c r="D468">
        <v>84.023333333333341</v>
      </c>
      <c r="E468">
        <v>10007942</v>
      </c>
      <c r="F468">
        <v>912490</v>
      </c>
      <c r="G468">
        <v>1600933911</v>
      </c>
      <c r="H468" t="str">
        <f>IF(AND(Fact_Financials_Master[[#This Row],[Year_Quarter]]&gt;="2020-Q2", Fact_Financials_Master[[#This Row],[Year_Quarter]]&lt;="2021-Q2"), "CARES_Period", "Normal_Period")</f>
        <v>Normal_Period</v>
      </c>
    </row>
    <row r="469" spans="1:8" x14ac:dyDescent="0.25">
      <c r="A469" t="s">
        <v>34</v>
      </c>
      <c r="B469" s="1" t="s">
        <v>63</v>
      </c>
      <c r="C469">
        <v>965010</v>
      </c>
      <c r="D469">
        <v>86.83</v>
      </c>
      <c r="E469">
        <v>9913185</v>
      </c>
      <c r="F469">
        <v>1624684.28</v>
      </c>
      <c r="G469">
        <v>1242323709</v>
      </c>
      <c r="H469" t="str">
        <f>IF(AND(Fact_Financials_Master[[#This Row],[Year_Quarter]]&gt;="2020-Q2", Fact_Financials_Master[[#This Row],[Year_Quarter]]&lt;="2021-Q2"), "CARES_Period", "Normal_Period")</f>
        <v>Normal_Period</v>
      </c>
    </row>
    <row r="470" spans="1:8" x14ac:dyDescent="0.25">
      <c r="A470" t="s">
        <v>34</v>
      </c>
      <c r="B470" s="1" t="s">
        <v>64</v>
      </c>
      <c r="C470">
        <v>388246</v>
      </c>
      <c r="D470">
        <v>85.303333333333327</v>
      </c>
      <c r="E470">
        <v>5139071</v>
      </c>
      <c r="F470">
        <v>694433</v>
      </c>
      <c r="G470">
        <v>898343029</v>
      </c>
      <c r="H470" t="str">
        <f>IF(AND(Fact_Financials_Master[[#This Row],[Year_Quarter]]&gt;="2020-Q2", Fact_Financials_Master[[#This Row],[Year_Quarter]]&lt;="2021-Q2"), "CARES_Period", "Normal_Period")</f>
        <v>Normal_Period</v>
      </c>
    </row>
    <row r="471" spans="1:8" x14ac:dyDescent="0.25">
      <c r="A471" t="s">
        <v>41</v>
      </c>
      <c r="B471" s="1" t="s">
        <v>62</v>
      </c>
      <c r="C471">
        <v>1017742</v>
      </c>
      <c r="D471">
        <v>87.51</v>
      </c>
      <c r="E471">
        <v>11809326</v>
      </c>
      <c r="F471">
        <v>1742062</v>
      </c>
      <c r="G471">
        <v>1979602393</v>
      </c>
      <c r="H471" t="str">
        <f>IF(AND(Fact_Financials_Master[[#This Row],[Year_Quarter]]&gt;="2020-Q2", Fact_Financials_Master[[#This Row],[Year_Quarter]]&lt;="2021-Q2"), "CARES_Period", "Normal_Period")</f>
        <v>Normal_Period</v>
      </c>
    </row>
    <row r="472" spans="1:8" x14ac:dyDescent="0.25">
      <c r="A472" t="s">
        <v>42</v>
      </c>
      <c r="B472" s="1" t="s">
        <v>62</v>
      </c>
      <c r="C472">
        <v>1275703</v>
      </c>
      <c r="D472">
        <v>87.086666666666673</v>
      </c>
      <c r="E472">
        <v>11988481</v>
      </c>
      <c r="F472">
        <v>1663858</v>
      </c>
      <c r="G472">
        <v>2184355053</v>
      </c>
      <c r="H472" t="str">
        <f>IF(AND(Fact_Financials_Master[[#This Row],[Year_Quarter]]&gt;="2020-Q2", Fact_Financials_Master[[#This Row],[Year_Quarter]]&lt;="2021-Q2"), "CARES_Period", "Normal_Period")</f>
        <v>Normal_Period</v>
      </c>
    </row>
    <row r="473" spans="1:8" x14ac:dyDescent="0.25">
      <c r="A473" t="s">
        <v>35</v>
      </c>
      <c r="B473" s="1" t="s">
        <v>66</v>
      </c>
      <c r="C473">
        <v>164942</v>
      </c>
      <c r="D473">
        <v>85.62</v>
      </c>
      <c r="E473">
        <v>1423514</v>
      </c>
      <c r="F473">
        <v>298506</v>
      </c>
      <c r="G473">
        <v>189459153</v>
      </c>
      <c r="H473" t="str">
        <f>IF(AND(Fact_Financials_Master[[#This Row],[Year_Quarter]]&gt;="2020-Q2", Fact_Financials_Master[[#This Row],[Year_Quarter]]&lt;="2021-Q2"), "CARES_Period", "Normal_Period")</f>
        <v>Normal_Period</v>
      </c>
    </row>
    <row r="474" spans="1:8" x14ac:dyDescent="0.25">
      <c r="A474" t="s">
        <v>36</v>
      </c>
      <c r="B474" s="1" t="s">
        <v>68</v>
      </c>
      <c r="C474">
        <v>-237</v>
      </c>
      <c r="D474">
        <v>86.783333333333331</v>
      </c>
      <c r="E474">
        <v>429929</v>
      </c>
      <c r="F474">
        <v>-2698.0099999999993</v>
      </c>
      <c r="G474">
        <v>84351749</v>
      </c>
      <c r="H474" t="str">
        <f>IF(AND(Fact_Financials_Master[[#This Row],[Year_Quarter]]&gt;="2020-Q2", Fact_Financials_Master[[#This Row],[Year_Quarter]]&lt;="2021-Q2"), "CARES_Period", "Normal_Period")</f>
        <v>Normal_Period</v>
      </c>
    </row>
    <row r="475" spans="1:8" x14ac:dyDescent="0.25">
      <c r="A475" t="s">
        <v>35</v>
      </c>
      <c r="B475" s="1" t="s">
        <v>65</v>
      </c>
      <c r="C475">
        <v>180020</v>
      </c>
      <c r="D475">
        <v>85.326666666666668</v>
      </c>
      <c r="E475">
        <v>1640949</v>
      </c>
      <c r="F475">
        <v>294724.09999999998</v>
      </c>
      <c r="G475">
        <v>291342360</v>
      </c>
      <c r="H475" t="str">
        <f>IF(AND(Fact_Financials_Master[[#This Row],[Year_Quarter]]&gt;="2020-Q2", Fact_Financials_Master[[#This Row],[Year_Quarter]]&lt;="2021-Q2"), "CARES_Period", "Normal_Period")</f>
        <v>Normal_Period</v>
      </c>
    </row>
    <row r="476" spans="1:8" x14ac:dyDescent="0.25">
      <c r="A476" t="s">
        <v>43</v>
      </c>
      <c r="B476" s="1" t="s">
        <v>62</v>
      </c>
      <c r="C476">
        <v>1008335</v>
      </c>
      <c r="D476">
        <v>86.850000000000009</v>
      </c>
      <c r="E476">
        <v>10732248</v>
      </c>
      <c r="F476">
        <v>1185494</v>
      </c>
      <c r="G476">
        <v>2039881243</v>
      </c>
      <c r="H476" t="str">
        <f>IF(AND(Fact_Financials_Master[[#This Row],[Year_Quarter]]&gt;="2020-Q2", Fact_Financials_Master[[#This Row],[Year_Quarter]]&lt;="2021-Q2"), "CARES_Period", "Normal_Period")</f>
        <v>Normal_Period</v>
      </c>
    </row>
    <row r="477" spans="1:8" x14ac:dyDescent="0.25">
      <c r="A477" t="s">
        <v>44</v>
      </c>
      <c r="B477" s="1" t="s">
        <v>62</v>
      </c>
      <c r="C477">
        <v>747733</v>
      </c>
      <c r="D477">
        <v>84.25</v>
      </c>
      <c r="E477">
        <v>10491457</v>
      </c>
      <c r="F477">
        <v>1019481</v>
      </c>
      <c r="G477">
        <v>1684074209</v>
      </c>
      <c r="H477" t="str">
        <f>IF(AND(Fact_Financials_Master[[#This Row],[Year_Quarter]]&gt;="2020-Q2", Fact_Financials_Master[[#This Row],[Year_Quarter]]&lt;="2021-Q2"), "CARES_Period", "Normal_Period")</f>
        <v>Normal_Period</v>
      </c>
    </row>
    <row r="478" spans="1:8" x14ac:dyDescent="0.25">
      <c r="A478" t="s">
        <v>35</v>
      </c>
      <c r="B478" s="1" t="s">
        <v>68</v>
      </c>
      <c r="C478">
        <v>32721</v>
      </c>
      <c r="D478">
        <v>86.056666666666672</v>
      </c>
      <c r="E478">
        <v>434475</v>
      </c>
      <c r="F478">
        <v>48631.93</v>
      </c>
      <c r="G478">
        <v>82003745</v>
      </c>
      <c r="H478" t="str">
        <f>IF(AND(Fact_Financials_Master[[#This Row],[Year_Quarter]]&gt;="2020-Q2", Fact_Financials_Master[[#This Row],[Year_Quarter]]&lt;="2021-Q2"), "CARES_Period", "Normal_Period")</f>
        <v>Normal_Period</v>
      </c>
    </row>
    <row r="479" spans="1:8" x14ac:dyDescent="0.25">
      <c r="A479" t="s">
        <v>44</v>
      </c>
      <c r="B479" s="1" t="s">
        <v>66</v>
      </c>
      <c r="C479">
        <v>17407</v>
      </c>
      <c r="D479">
        <v>80.13</v>
      </c>
      <c r="E479">
        <v>1874887</v>
      </c>
      <c r="F479">
        <v>28323</v>
      </c>
      <c r="G479">
        <v>362341413</v>
      </c>
      <c r="H479" t="str">
        <f>IF(AND(Fact_Financials_Master[[#This Row],[Year_Quarter]]&gt;="2020-Q2", Fact_Financials_Master[[#This Row],[Year_Quarter]]&lt;="2021-Q2"), "CARES_Period", "Normal_Period")</f>
        <v>Normal_Period</v>
      </c>
    </row>
    <row r="480" spans="1:8" x14ac:dyDescent="0.25">
      <c r="A480" t="s">
        <v>45</v>
      </c>
      <c r="B480" s="1" t="s">
        <v>62</v>
      </c>
      <c r="C480">
        <v>1407178</v>
      </c>
      <c r="D480">
        <v>89.89</v>
      </c>
      <c r="E480">
        <v>12581479</v>
      </c>
      <c r="F480">
        <v>2080770</v>
      </c>
      <c r="G480">
        <v>1966302158</v>
      </c>
      <c r="H480" t="str">
        <f>IF(AND(Fact_Financials_Master[[#This Row],[Year_Quarter]]&gt;="2020-Q2", Fact_Financials_Master[[#This Row],[Year_Quarter]]&lt;="2021-Q2"), "CARES_Period", "Normal_Period")</f>
        <v>Normal_Period</v>
      </c>
    </row>
    <row r="481" spans="1:8" x14ac:dyDescent="0.25">
      <c r="A481" t="s">
        <v>35</v>
      </c>
      <c r="B481" s="1" t="s">
        <v>67</v>
      </c>
      <c r="C481">
        <v>48493</v>
      </c>
      <c r="D481">
        <v>81.183333333333337</v>
      </c>
      <c r="E481">
        <v>578351</v>
      </c>
      <c r="F481">
        <v>85310.77</v>
      </c>
      <c r="G481">
        <v>126534683</v>
      </c>
      <c r="H481" t="str">
        <f>IF(AND(Fact_Financials_Master[[#This Row],[Year_Quarter]]&gt;="2020-Q2", Fact_Financials_Master[[#This Row],[Year_Quarter]]&lt;="2021-Q2"), "CARES_Period", "Normal_Period")</f>
        <v>Normal_Period</v>
      </c>
    </row>
    <row r="482" spans="1:8" x14ac:dyDescent="0.25">
      <c r="A482" t="s">
        <v>46</v>
      </c>
      <c r="B482" s="1" t="s">
        <v>62</v>
      </c>
      <c r="C482">
        <v>1493988</v>
      </c>
      <c r="D482">
        <v>89.123333333333335</v>
      </c>
      <c r="E482">
        <v>12590411</v>
      </c>
      <c r="F482">
        <v>2062770</v>
      </c>
      <c r="G482">
        <v>1960079222</v>
      </c>
      <c r="H482" t="str">
        <f>IF(AND(Fact_Financials_Master[[#This Row],[Year_Quarter]]&gt;="2020-Q2", Fact_Financials_Master[[#This Row],[Year_Quarter]]&lt;="2021-Q2"), "CARES_Period", "Normal_Period")</f>
        <v>Normal_Period</v>
      </c>
    </row>
    <row r="483" spans="1:8" x14ac:dyDescent="0.25">
      <c r="A483" t="s">
        <v>35</v>
      </c>
      <c r="B483" s="1" t="s">
        <v>64</v>
      </c>
      <c r="C483">
        <v>522340</v>
      </c>
      <c r="D483">
        <v>84.596666666666664</v>
      </c>
      <c r="E483">
        <v>5075670</v>
      </c>
      <c r="F483">
        <v>845884</v>
      </c>
      <c r="G483">
        <v>911132366</v>
      </c>
      <c r="H483" t="str">
        <f>IF(AND(Fact_Financials_Master[[#This Row],[Year_Quarter]]&gt;="2020-Q2", Fact_Financials_Master[[#This Row],[Year_Quarter]]&lt;="2021-Q2"), "CARES_Period", "Normal_Period")</f>
        <v>Normal_Period</v>
      </c>
    </row>
    <row r="484" spans="1:8" x14ac:dyDescent="0.25">
      <c r="A484" t="s">
        <v>47</v>
      </c>
      <c r="B484" s="1" t="s">
        <v>62</v>
      </c>
      <c r="C484">
        <v>1121021</v>
      </c>
      <c r="D484">
        <v>86.793333333333337</v>
      </c>
      <c r="E484">
        <v>11462988</v>
      </c>
      <c r="F484">
        <v>1395768</v>
      </c>
      <c r="G484">
        <v>1704275994</v>
      </c>
      <c r="H484" t="str">
        <f>IF(AND(Fact_Financials_Master[[#This Row],[Year_Quarter]]&gt;="2020-Q2", Fact_Financials_Master[[#This Row],[Year_Quarter]]&lt;="2021-Q2"), "CARES_Period", "Normal_Period")</f>
        <v>Normal_Period</v>
      </c>
    </row>
    <row r="485" spans="1:8" x14ac:dyDescent="0.25">
      <c r="A485" t="s">
        <v>36</v>
      </c>
      <c r="B485" s="1" t="s">
        <v>66</v>
      </c>
      <c r="C485">
        <v>122665</v>
      </c>
      <c r="D485">
        <v>82.646666666666661</v>
      </c>
      <c r="E485">
        <v>1391087</v>
      </c>
      <c r="F485">
        <v>215242</v>
      </c>
      <c r="G485">
        <v>208797145</v>
      </c>
      <c r="H485" t="str">
        <f>IF(AND(Fact_Financials_Master[[#This Row],[Year_Quarter]]&gt;="2020-Q2", Fact_Financials_Master[[#This Row],[Year_Quarter]]&lt;="2021-Q2"), "CARES_Period", "Normal_Period")</f>
        <v>Normal_Period</v>
      </c>
    </row>
    <row r="486" spans="1:8" x14ac:dyDescent="0.25">
      <c r="A486" t="s">
        <v>57</v>
      </c>
      <c r="B486" s="1" t="s">
        <v>66</v>
      </c>
      <c r="C486">
        <v>143232</v>
      </c>
      <c r="D486">
        <v>88.72999999999999</v>
      </c>
      <c r="E486">
        <v>2657033</v>
      </c>
      <c r="F486">
        <v>155947</v>
      </c>
      <c r="G486">
        <v>718440676</v>
      </c>
      <c r="H486" t="str">
        <f>IF(AND(Fact_Financials_Master[[#This Row],[Year_Quarter]]&gt;="2020-Q2", Fact_Financials_Master[[#This Row],[Year_Quarter]]&lt;="2021-Q2"), "CARES_Period", "Normal_Period")</f>
        <v>Normal_Period</v>
      </c>
    </row>
    <row r="487" spans="1:8" x14ac:dyDescent="0.25">
      <c r="A487" t="s">
        <v>36</v>
      </c>
      <c r="B487" s="1" t="s">
        <v>65</v>
      </c>
      <c r="C487">
        <v>85276</v>
      </c>
      <c r="D487">
        <v>84.456666666666663</v>
      </c>
      <c r="E487">
        <v>1603858</v>
      </c>
      <c r="F487">
        <v>147605.04999999999</v>
      </c>
      <c r="G487">
        <v>322619471</v>
      </c>
      <c r="H487" t="str">
        <f>IF(AND(Fact_Financials_Master[[#This Row],[Year_Quarter]]&gt;="2020-Q2", Fact_Financials_Master[[#This Row],[Year_Quarter]]&lt;="2021-Q2"), "CARES_Period", "Normal_Period")</f>
        <v>Normal_Period</v>
      </c>
    </row>
    <row r="488" spans="1:8" x14ac:dyDescent="0.25">
      <c r="A488" t="s">
        <v>42</v>
      </c>
      <c r="B488" s="1" t="s">
        <v>68</v>
      </c>
      <c r="C488">
        <v>30541</v>
      </c>
      <c r="D488">
        <v>86.31</v>
      </c>
      <c r="E488">
        <v>544751</v>
      </c>
      <c r="F488">
        <v>35787.31</v>
      </c>
      <c r="G488">
        <v>138070763</v>
      </c>
      <c r="H488" t="str">
        <f>IF(AND(Fact_Financials_Master[[#This Row],[Year_Quarter]]&gt;="2020-Q2", Fact_Financials_Master[[#This Row],[Year_Quarter]]&lt;="2021-Q2"), "CARES_Period", "Normal_Period")</f>
        <v>Normal_Period</v>
      </c>
    </row>
    <row r="489" spans="1:8" x14ac:dyDescent="0.25">
      <c r="A489" t="s">
        <v>54</v>
      </c>
      <c r="B489" s="1" t="s">
        <v>62</v>
      </c>
      <c r="C489">
        <v>1196545</v>
      </c>
      <c r="D489">
        <v>84.703333333333333</v>
      </c>
      <c r="E489">
        <v>9165349</v>
      </c>
      <c r="F489">
        <v>552729</v>
      </c>
      <c r="G489">
        <v>1288346787</v>
      </c>
      <c r="H489" t="str">
        <f>IF(AND(Fact_Financials_Master[[#This Row],[Year_Quarter]]&gt;="2020-Q2", Fact_Financials_Master[[#This Row],[Year_Quarter]]&lt;="2021-Q2"), "CARES_Period", "Normal_Period")</f>
        <v>Normal_Period</v>
      </c>
    </row>
    <row r="490" spans="1:8" x14ac:dyDescent="0.25">
      <c r="A490" t="s">
        <v>36</v>
      </c>
      <c r="B490" s="1" t="s">
        <v>67</v>
      </c>
      <c r="C490">
        <v>31935</v>
      </c>
      <c r="D490">
        <v>81.693333333333328</v>
      </c>
      <c r="E490">
        <v>591746</v>
      </c>
      <c r="F490">
        <v>59405.279999999999</v>
      </c>
      <c r="G490">
        <v>139781837</v>
      </c>
      <c r="H490" t="str">
        <f>IF(AND(Fact_Financials_Master[[#This Row],[Year_Quarter]]&gt;="2020-Q2", Fact_Financials_Master[[#This Row],[Year_Quarter]]&lt;="2021-Q2"), "CARES_Period", "Normal_Period")</f>
        <v>Normal_Period</v>
      </c>
    </row>
    <row r="491" spans="1:8" x14ac:dyDescent="0.25">
      <c r="A491" t="s">
        <v>55</v>
      </c>
      <c r="B491" s="1" t="s">
        <v>62</v>
      </c>
      <c r="C491">
        <v>-373073</v>
      </c>
      <c r="D491">
        <v>83.026666666666671</v>
      </c>
      <c r="E491">
        <v>9484850</v>
      </c>
      <c r="F491">
        <v>396369</v>
      </c>
      <c r="G491">
        <v>1327442079</v>
      </c>
      <c r="H491" t="str">
        <f>IF(AND(Fact_Financials_Master[[#This Row],[Year_Quarter]]&gt;="2020-Q2", Fact_Financials_Master[[#This Row],[Year_Quarter]]&lt;="2021-Q2"), "CARES_Period", "Normal_Period")</f>
        <v>Normal_Period</v>
      </c>
    </row>
    <row r="492" spans="1:8" x14ac:dyDescent="0.25">
      <c r="A492" t="s">
        <v>36</v>
      </c>
      <c r="B492" s="1" t="s">
        <v>64</v>
      </c>
      <c r="C492">
        <v>351464</v>
      </c>
      <c r="D492">
        <v>80.010000000000005</v>
      </c>
      <c r="E492">
        <v>4882664</v>
      </c>
      <c r="F492">
        <v>658021</v>
      </c>
      <c r="G492">
        <v>880209961</v>
      </c>
      <c r="H492" t="str">
        <f>IF(AND(Fact_Financials_Master[[#This Row],[Year_Quarter]]&gt;="2020-Q2", Fact_Financials_Master[[#This Row],[Year_Quarter]]&lt;="2021-Q2"), "CARES_Period", "Normal_Period")</f>
        <v>Normal_Period</v>
      </c>
    </row>
    <row r="493" spans="1:8" x14ac:dyDescent="0.25">
      <c r="A493" t="s">
        <v>57</v>
      </c>
      <c r="B493" s="1" t="s">
        <v>62</v>
      </c>
      <c r="C493">
        <v>798789</v>
      </c>
      <c r="D493">
        <v>90.679999999999993</v>
      </c>
      <c r="E493">
        <v>13849556</v>
      </c>
      <c r="F493">
        <v>1654695</v>
      </c>
      <c r="G493">
        <v>2814603886</v>
      </c>
      <c r="H493" t="str">
        <f>IF(AND(Fact_Financials_Master[[#This Row],[Year_Quarter]]&gt;="2020-Q2", Fact_Financials_Master[[#This Row],[Year_Quarter]]&lt;="2021-Q2"), "CARES_Period", "Normal_Period")</f>
        <v>Normal_Period</v>
      </c>
    </row>
    <row r="494" spans="1:8" x14ac:dyDescent="0.25">
      <c r="A494" t="s">
        <v>37</v>
      </c>
      <c r="B494" s="1" t="s">
        <v>66</v>
      </c>
      <c r="C494">
        <v>273678</v>
      </c>
      <c r="D494">
        <v>87.62</v>
      </c>
      <c r="E494">
        <v>1665297</v>
      </c>
      <c r="F494">
        <v>463667</v>
      </c>
      <c r="G494">
        <v>215660250</v>
      </c>
      <c r="H494" t="str">
        <f>IF(AND(Fact_Financials_Master[[#This Row],[Year_Quarter]]&gt;="2020-Q2", Fact_Financials_Master[[#This Row],[Year_Quarter]]&lt;="2021-Q2"), "CARES_Period", "Normal_Period")</f>
        <v>Normal_Period</v>
      </c>
    </row>
    <row r="495" spans="1:8" x14ac:dyDescent="0.25">
      <c r="A495" t="s">
        <v>37</v>
      </c>
      <c r="B495" s="1" t="s">
        <v>65</v>
      </c>
      <c r="C495">
        <v>210805</v>
      </c>
      <c r="D495">
        <v>85.543333333333337</v>
      </c>
      <c r="E495">
        <v>1842498</v>
      </c>
      <c r="F495">
        <v>354018.68</v>
      </c>
      <c r="G495">
        <v>325045521</v>
      </c>
      <c r="H495" t="str">
        <f>IF(AND(Fact_Financials_Master[[#This Row],[Year_Quarter]]&gt;="2020-Q2", Fact_Financials_Master[[#This Row],[Year_Quarter]]&lt;="2021-Q2"), "CARES_Period", "Normal_Period")</f>
        <v>Normal_Period</v>
      </c>
    </row>
    <row r="496" spans="1:8" x14ac:dyDescent="0.25">
      <c r="A496" t="s">
        <v>58</v>
      </c>
      <c r="B496" s="1" t="s">
        <v>62</v>
      </c>
      <c r="C496">
        <v>759316</v>
      </c>
      <c r="D496">
        <v>87.2</v>
      </c>
      <c r="E496">
        <v>13993844</v>
      </c>
      <c r="F496">
        <v>1587727</v>
      </c>
      <c r="G496">
        <v>2887504915</v>
      </c>
      <c r="H496" t="str">
        <f>IF(AND(Fact_Financials_Master[[#This Row],[Year_Quarter]]&gt;="2020-Q2", Fact_Financials_Master[[#This Row],[Year_Quarter]]&lt;="2021-Q2"), "CARES_Period", "Normal_Period")</f>
        <v>Normal_Period</v>
      </c>
    </row>
    <row r="497" spans="1:8" x14ac:dyDescent="0.25">
      <c r="A497" t="s">
        <v>41</v>
      </c>
      <c r="B497" s="1" t="s">
        <v>68</v>
      </c>
      <c r="C497">
        <v>67225</v>
      </c>
      <c r="D497">
        <v>86.696666666666673</v>
      </c>
      <c r="E497">
        <v>556016</v>
      </c>
      <c r="F497">
        <v>83650.12000000001</v>
      </c>
      <c r="G497">
        <v>138922619</v>
      </c>
      <c r="H497" t="str">
        <f>IF(AND(Fact_Financials_Master[[#This Row],[Year_Quarter]]&gt;="2020-Q2", Fact_Financials_Master[[#This Row],[Year_Quarter]]&lt;="2021-Q2"), "CARES_Period", "Normal_Period")</f>
        <v>Normal_Period</v>
      </c>
    </row>
    <row r="498" spans="1:8" x14ac:dyDescent="0.25">
      <c r="A498" t="s">
        <v>37</v>
      </c>
      <c r="B498" s="1" t="s">
        <v>68</v>
      </c>
      <c r="C498">
        <v>70019</v>
      </c>
      <c r="D498">
        <v>87.536666666666676</v>
      </c>
      <c r="E498">
        <v>506579</v>
      </c>
      <c r="F498">
        <v>110120.18999999999</v>
      </c>
      <c r="G498">
        <v>86457381</v>
      </c>
      <c r="H498" t="str">
        <f>IF(AND(Fact_Financials_Master[[#This Row],[Year_Quarter]]&gt;="2020-Q2", Fact_Financials_Master[[#This Row],[Year_Quarter]]&lt;="2021-Q2"), "CARES_Period", "Normal_Period")</f>
        <v>Normal_Period</v>
      </c>
    </row>
    <row r="499" spans="1:8" x14ac:dyDescent="0.25">
      <c r="A499" t="s">
        <v>59</v>
      </c>
      <c r="B499" s="1" t="s">
        <v>62</v>
      </c>
      <c r="C499">
        <v>927752</v>
      </c>
      <c r="D499">
        <v>86.960000000000008</v>
      </c>
      <c r="E499">
        <v>13460921</v>
      </c>
      <c r="F499">
        <v>1520451</v>
      </c>
      <c r="G499">
        <v>2438603809</v>
      </c>
      <c r="H499" t="str">
        <f>IF(AND(Fact_Financials_Master[[#This Row],[Year_Quarter]]&gt;="2020-Q2", Fact_Financials_Master[[#This Row],[Year_Quarter]]&lt;="2021-Q2"), "CARES_Period", "Normal_Period")</f>
        <v>Normal_Period</v>
      </c>
    </row>
    <row r="500" spans="1:8" x14ac:dyDescent="0.25">
      <c r="A500" t="s">
        <v>37</v>
      </c>
      <c r="B500" s="1" t="s">
        <v>67</v>
      </c>
      <c r="C500">
        <v>94209</v>
      </c>
      <c r="D500">
        <v>85.74666666666667</v>
      </c>
      <c r="E500">
        <v>700389</v>
      </c>
      <c r="F500">
        <v>131442.64000000001</v>
      </c>
      <c r="G500">
        <v>142293947</v>
      </c>
      <c r="H500" t="str">
        <f>IF(AND(Fact_Financials_Master[[#This Row],[Year_Quarter]]&gt;="2020-Q2", Fact_Financials_Master[[#This Row],[Year_Quarter]]&lt;="2021-Q2"), "CARES_Period", "Normal_Period")</f>
        <v>Normal_Period</v>
      </c>
    </row>
    <row r="501" spans="1:8" x14ac:dyDescent="0.25">
      <c r="A501" t="s">
        <v>44</v>
      </c>
      <c r="B501" s="1" t="s">
        <v>63</v>
      </c>
      <c r="C501">
        <v>292760</v>
      </c>
      <c r="D501">
        <v>83.04</v>
      </c>
      <c r="E501">
        <v>9589287</v>
      </c>
      <c r="F501">
        <v>495793.68000000005</v>
      </c>
      <c r="G501">
        <v>1571379217</v>
      </c>
      <c r="H501" t="str">
        <f>IF(AND(Fact_Financials_Master[[#This Row],[Year_Quarter]]&gt;="2020-Q2", Fact_Financials_Master[[#This Row],[Year_Quarter]]&lt;="2021-Q2"), "CARES_Period", "Normal_Period")</f>
        <v>Normal_Period</v>
      </c>
    </row>
    <row r="502" spans="1:8" x14ac:dyDescent="0.25">
      <c r="A502" t="s">
        <v>37</v>
      </c>
      <c r="B502" s="1" t="s">
        <v>64</v>
      </c>
      <c r="C502">
        <v>746032</v>
      </c>
      <c r="D502">
        <v>85.713333333333338</v>
      </c>
      <c r="E502">
        <v>5743938</v>
      </c>
      <c r="F502">
        <v>1249863</v>
      </c>
      <c r="G502">
        <v>942830776</v>
      </c>
      <c r="H502" t="str">
        <f>IF(AND(Fact_Financials_Master[[#This Row],[Year_Quarter]]&gt;="2020-Q2", Fact_Financials_Master[[#This Row],[Year_Quarter]]&lt;="2021-Q2"), "CARES_Period", "Normal_Period")</f>
        <v>Normal_Period</v>
      </c>
    </row>
    <row r="503" spans="1:8" x14ac:dyDescent="0.25">
      <c r="A503" t="s">
        <v>38</v>
      </c>
      <c r="B503" s="1" t="s">
        <v>66</v>
      </c>
      <c r="C503">
        <v>251732</v>
      </c>
      <c r="D503">
        <v>86.38333333333334</v>
      </c>
      <c r="E503">
        <v>1693104</v>
      </c>
      <c r="F503">
        <v>420921</v>
      </c>
      <c r="G503">
        <v>231037212</v>
      </c>
      <c r="H503" t="str">
        <f>IF(AND(Fact_Financials_Master[[#This Row],[Year_Quarter]]&gt;="2020-Q2", Fact_Financials_Master[[#This Row],[Year_Quarter]]&lt;="2021-Q2"), "CARES_Period", "Normal_Period")</f>
        <v>Normal_Period</v>
      </c>
    </row>
    <row r="504" spans="1:8" x14ac:dyDescent="0.25">
      <c r="A504" t="s">
        <v>38</v>
      </c>
      <c r="B504" s="1" t="s">
        <v>65</v>
      </c>
      <c r="C504">
        <v>178785</v>
      </c>
      <c r="D504">
        <v>84.593333333333334</v>
      </c>
      <c r="E504">
        <v>1812728</v>
      </c>
      <c r="F504">
        <v>302364.98</v>
      </c>
      <c r="G504">
        <v>346903291</v>
      </c>
      <c r="H504" t="str">
        <f>IF(AND(Fact_Financials_Master[[#This Row],[Year_Quarter]]&gt;="2020-Q2", Fact_Financials_Master[[#This Row],[Year_Quarter]]&lt;="2021-Q2"), "CARES_Period", "Normal_Period")</f>
        <v>Normal_Period</v>
      </c>
    </row>
    <row r="505" spans="1:8" x14ac:dyDescent="0.25">
      <c r="A505" t="s">
        <v>41</v>
      </c>
      <c r="B505" s="1" t="s">
        <v>63</v>
      </c>
      <c r="C505">
        <v>684133</v>
      </c>
      <c r="D505">
        <v>87.6</v>
      </c>
      <c r="E505">
        <v>10776602</v>
      </c>
      <c r="F505">
        <v>1160849.06</v>
      </c>
      <c r="G505">
        <v>1903653126</v>
      </c>
      <c r="H505" t="str">
        <f>IF(AND(Fact_Financials_Master[[#This Row],[Year_Quarter]]&gt;="2020-Q2", Fact_Financials_Master[[#This Row],[Year_Quarter]]&lt;="2021-Q2"), "CARES_Period", "Normal_Period")</f>
        <v>Normal_Period</v>
      </c>
    </row>
    <row r="506" spans="1:8" x14ac:dyDescent="0.25">
      <c r="A506" t="s">
        <v>38</v>
      </c>
      <c r="B506" s="1" t="s">
        <v>68</v>
      </c>
      <c r="C506">
        <v>66331</v>
      </c>
      <c r="D506">
        <v>85.486666666666665</v>
      </c>
      <c r="E506">
        <v>486947</v>
      </c>
      <c r="F506">
        <v>103680.87</v>
      </c>
      <c r="G506">
        <v>99296945</v>
      </c>
      <c r="H506" t="str">
        <f>IF(AND(Fact_Financials_Master[[#This Row],[Year_Quarter]]&gt;="2020-Q2", Fact_Financials_Master[[#This Row],[Year_Quarter]]&lt;="2021-Q2"), "CARES_Period", "Normal_Period")</f>
        <v>Normal_Period</v>
      </c>
    </row>
    <row r="507" spans="1:8" x14ac:dyDescent="0.25">
      <c r="A507" t="s">
        <v>43</v>
      </c>
      <c r="B507" s="1" t="s">
        <v>66</v>
      </c>
      <c r="C507">
        <v>47926</v>
      </c>
      <c r="D507">
        <v>83.76</v>
      </c>
      <c r="E507">
        <v>2063568</v>
      </c>
      <c r="F507">
        <v>106912</v>
      </c>
      <c r="G507">
        <v>420687588</v>
      </c>
      <c r="H507" t="str">
        <f>IF(AND(Fact_Financials_Master[[#This Row],[Year_Quarter]]&gt;="2020-Q2", Fact_Financials_Master[[#This Row],[Year_Quarter]]&lt;="2021-Q2"), "CARES_Period", "Normal_Period")</f>
        <v>Normal_Period</v>
      </c>
    </row>
    <row r="508" spans="1:8" x14ac:dyDescent="0.25">
      <c r="A508" t="s">
        <v>38</v>
      </c>
      <c r="B508" s="1" t="s">
        <v>67</v>
      </c>
      <c r="C508">
        <v>60190</v>
      </c>
      <c r="D508">
        <v>83.626666666666665</v>
      </c>
      <c r="E508">
        <v>687231</v>
      </c>
      <c r="F508">
        <v>104103.40999999999</v>
      </c>
      <c r="G508">
        <v>158300187</v>
      </c>
      <c r="H508" t="str">
        <f>IF(AND(Fact_Financials_Master[[#This Row],[Year_Quarter]]&gt;="2020-Q2", Fact_Financials_Master[[#This Row],[Year_Quarter]]&lt;="2021-Q2"), "CARES_Period", "Normal_Period")</f>
        <v>Normal_Period</v>
      </c>
    </row>
    <row r="509" spans="1:8" x14ac:dyDescent="0.25">
      <c r="A509" t="s">
        <v>38</v>
      </c>
      <c r="B509" s="1" t="s">
        <v>63</v>
      </c>
      <c r="C509">
        <v>637510</v>
      </c>
      <c r="D509">
        <v>85.91</v>
      </c>
      <c r="E509">
        <v>9877966</v>
      </c>
      <c r="F509">
        <v>1092645.26</v>
      </c>
      <c r="G509">
        <v>1443132558</v>
      </c>
      <c r="H509" t="str">
        <f>IF(AND(Fact_Financials_Master[[#This Row],[Year_Quarter]]&gt;="2020-Q2", Fact_Financials_Master[[#This Row],[Year_Quarter]]&lt;="2021-Q2"), "CARES_Period", "Normal_Period")</f>
        <v>Normal_Period</v>
      </c>
    </row>
    <row r="510" spans="1:8" x14ac:dyDescent="0.25">
      <c r="A510" t="s">
        <v>38</v>
      </c>
      <c r="B510" s="1" t="s">
        <v>64</v>
      </c>
      <c r="C510">
        <v>502605</v>
      </c>
      <c r="D510">
        <v>84.71</v>
      </c>
      <c r="E510">
        <v>5270666</v>
      </c>
      <c r="F510">
        <v>834103</v>
      </c>
      <c r="G510">
        <v>950297435</v>
      </c>
      <c r="H510" t="str">
        <f>IF(AND(Fact_Financials_Master[[#This Row],[Year_Quarter]]&gt;="2020-Q2", Fact_Financials_Master[[#This Row],[Year_Quarter]]&lt;="2021-Q2"), "CARES_Period", "Normal_Period")</f>
        <v>Normal_Period</v>
      </c>
    </row>
    <row r="511" spans="1:8" x14ac:dyDescent="0.25">
      <c r="A511" t="s">
        <v>58</v>
      </c>
      <c r="B511" s="1" t="s">
        <v>66</v>
      </c>
      <c r="C511">
        <v>58195</v>
      </c>
      <c r="D511">
        <v>86.876666666666665</v>
      </c>
      <c r="E511">
        <v>2826317</v>
      </c>
      <c r="F511">
        <v>190180</v>
      </c>
      <c r="G511">
        <v>675418957</v>
      </c>
      <c r="H511" t="str">
        <f>IF(AND(Fact_Financials_Master[[#This Row],[Year_Quarter]]&gt;="2020-Q2", Fact_Financials_Master[[#This Row],[Year_Quarter]]&lt;="2021-Q2"), "CARES_Period", "Normal_Period")</f>
        <v>Normal_Period</v>
      </c>
    </row>
    <row r="512" spans="1:8" x14ac:dyDescent="0.25">
      <c r="A512" t="s">
        <v>39</v>
      </c>
      <c r="B512" s="1" t="s">
        <v>66</v>
      </c>
      <c r="C512">
        <v>426165</v>
      </c>
      <c r="D512">
        <v>84.88333333333334</v>
      </c>
      <c r="E512">
        <v>1538364</v>
      </c>
      <c r="F512">
        <v>190946</v>
      </c>
      <c r="G512">
        <v>248785060</v>
      </c>
      <c r="H512" t="str">
        <f>IF(AND(Fact_Financials_Master[[#This Row],[Year_Quarter]]&gt;="2020-Q2", Fact_Financials_Master[[#This Row],[Year_Quarter]]&lt;="2021-Q2"), "CARES_Period", "Normal_Period")</f>
        <v>Normal_Period</v>
      </c>
    </row>
    <row r="513" spans="1:8" x14ac:dyDescent="0.25">
      <c r="A513" t="s">
        <v>39</v>
      </c>
      <c r="B513" s="1" t="s">
        <v>65</v>
      </c>
      <c r="C513">
        <v>672409</v>
      </c>
      <c r="D513">
        <v>83.916666666666671</v>
      </c>
      <c r="E513">
        <v>1756242</v>
      </c>
      <c r="F513">
        <v>189373.56</v>
      </c>
      <c r="G513">
        <v>368182234</v>
      </c>
      <c r="H513" t="str">
        <f>IF(AND(Fact_Financials_Master[[#This Row],[Year_Quarter]]&gt;="2020-Q2", Fact_Financials_Master[[#This Row],[Year_Quarter]]&lt;="2021-Q2"), "CARES_Period", "Normal_Period")</f>
        <v>Normal_Period</v>
      </c>
    </row>
    <row r="514" spans="1:8" x14ac:dyDescent="0.25">
      <c r="A514" t="s">
        <v>39</v>
      </c>
      <c r="B514" s="1" t="s">
        <v>68</v>
      </c>
      <c r="C514">
        <v>28750</v>
      </c>
      <c r="D514">
        <v>87.203333333333333</v>
      </c>
      <c r="E514">
        <v>491286</v>
      </c>
      <c r="F514">
        <v>30552.22</v>
      </c>
      <c r="G514">
        <v>115817274</v>
      </c>
      <c r="H514" t="str">
        <f>IF(AND(Fact_Financials_Master[[#This Row],[Year_Quarter]]&gt;="2020-Q2", Fact_Financials_Master[[#This Row],[Year_Quarter]]&lt;="2021-Q2"), "CARES_Period", "Normal_Period")</f>
        <v>Normal_Period</v>
      </c>
    </row>
    <row r="515" spans="1:8" x14ac:dyDescent="0.25">
      <c r="A515" t="s">
        <v>39</v>
      </c>
      <c r="B515" s="1" t="s">
        <v>67</v>
      </c>
      <c r="C515">
        <v>81746</v>
      </c>
      <c r="D515">
        <v>81.803333333333327</v>
      </c>
      <c r="E515">
        <v>666182</v>
      </c>
      <c r="F515">
        <v>91308.420000000013</v>
      </c>
      <c r="G515">
        <v>175205228</v>
      </c>
      <c r="H515" t="str">
        <f>IF(AND(Fact_Financials_Master[[#This Row],[Year_Quarter]]&gt;="2020-Q2", Fact_Financials_Master[[#This Row],[Year_Quarter]]&lt;="2021-Q2"), "CARES_Period", "Normal_Period")</f>
        <v>Normal_Period</v>
      </c>
    </row>
    <row r="516" spans="1:8" x14ac:dyDescent="0.25">
      <c r="A516" t="s">
        <v>39</v>
      </c>
      <c r="B516" s="1" t="s">
        <v>64</v>
      </c>
      <c r="C516">
        <v>1888364</v>
      </c>
      <c r="D516">
        <v>85.226666666666659</v>
      </c>
      <c r="E516">
        <v>5273392</v>
      </c>
      <c r="F516">
        <v>772871</v>
      </c>
      <c r="G516">
        <v>979402577</v>
      </c>
      <c r="H516" t="str">
        <f>IF(AND(Fact_Financials_Master[[#This Row],[Year_Quarter]]&gt;="2020-Q2", Fact_Financials_Master[[#This Row],[Year_Quarter]]&lt;="2021-Q2"), "CARES_Period", "Normal_Period")</f>
        <v>Normal_Period</v>
      </c>
    </row>
    <row r="517" spans="1:8" x14ac:dyDescent="0.25">
      <c r="A517" t="s">
        <v>40</v>
      </c>
      <c r="B517" s="1" t="s">
        <v>65</v>
      </c>
      <c r="C517">
        <v>88322</v>
      </c>
      <c r="D517">
        <v>83.306666666666672</v>
      </c>
      <c r="E517">
        <v>1753764</v>
      </c>
      <c r="F517">
        <v>129322.26000000001</v>
      </c>
      <c r="G517">
        <v>416853799</v>
      </c>
      <c r="H517" t="str">
        <f>IF(AND(Fact_Financials_Master[[#This Row],[Year_Quarter]]&gt;="2020-Q2", Fact_Financials_Master[[#This Row],[Year_Quarter]]&lt;="2021-Q2"), "CARES_Period", "Normal_Period")</f>
        <v>Normal_Period</v>
      </c>
    </row>
    <row r="518" spans="1:8" x14ac:dyDescent="0.25">
      <c r="A518" t="s">
        <v>40</v>
      </c>
      <c r="B518" s="1" t="s">
        <v>68</v>
      </c>
      <c r="C518">
        <v>26845</v>
      </c>
      <c r="D518">
        <v>85.38666666666667</v>
      </c>
      <c r="E518">
        <v>501374</v>
      </c>
      <c r="F518">
        <v>33298.57</v>
      </c>
      <c r="G518">
        <v>123429281</v>
      </c>
      <c r="H518" t="str">
        <f>IF(AND(Fact_Financials_Master[[#This Row],[Year_Quarter]]&gt;="2020-Q2", Fact_Financials_Master[[#This Row],[Year_Quarter]]&lt;="2021-Q2"), "CARES_Period", "Normal_Period")</f>
        <v>Normal_Period</v>
      </c>
    </row>
    <row r="519" spans="1:8" x14ac:dyDescent="0.25">
      <c r="A519" t="s">
        <v>59</v>
      </c>
      <c r="B519" s="1" t="s">
        <v>68</v>
      </c>
      <c r="C519">
        <v>39973</v>
      </c>
      <c r="D519">
        <v>82.55</v>
      </c>
      <c r="E519">
        <v>905887</v>
      </c>
      <c r="F519">
        <v>44922.54</v>
      </c>
      <c r="G519">
        <v>285084742</v>
      </c>
      <c r="H519" t="str">
        <f>IF(AND(Fact_Financials_Master[[#This Row],[Year_Quarter]]&gt;="2020-Q2", Fact_Financials_Master[[#This Row],[Year_Quarter]]&lt;="2021-Q2"), "CARES_Period", "Normal_Period")</f>
        <v>Normal_Period</v>
      </c>
    </row>
    <row r="520" spans="1:8" x14ac:dyDescent="0.25">
      <c r="A520" t="s">
        <v>40</v>
      </c>
      <c r="B520" s="1" t="s">
        <v>64</v>
      </c>
      <c r="C520">
        <v>462596</v>
      </c>
      <c r="D520">
        <v>81.38666666666667</v>
      </c>
      <c r="E520">
        <v>4943716</v>
      </c>
      <c r="F520">
        <v>616430</v>
      </c>
      <c r="G520">
        <v>967286238</v>
      </c>
      <c r="H520" t="str">
        <f>IF(AND(Fact_Financials_Master[[#This Row],[Year_Quarter]]&gt;="2020-Q2", Fact_Financials_Master[[#This Row],[Year_Quarter]]&lt;="2021-Q2"), "CARES_Period", "Normal_Period")</f>
        <v>Normal_Period</v>
      </c>
    </row>
    <row r="521" spans="1:8" x14ac:dyDescent="0.25">
      <c r="A521" t="s">
        <v>58</v>
      </c>
      <c r="B521" s="1" t="s">
        <v>68</v>
      </c>
      <c r="C521">
        <v>20739</v>
      </c>
      <c r="D521">
        <v>82.903333333333336</v>
      </c>
      <c r="E521">
        <v>906463</v>
      </c>
      <c r="F521">
        <v>42980.100000000006</v>
      </c>
      <c r="G521">
        <v>286205576</v>
      </c>
      <c r="H521" t="str">
        <f>IF(AND(Fact_Financials_Master[[#This Row],[Year_Quarter]]&gt;="2020-Q2", Fact_Financials_Master[[#This Row],[Year_Quarter]]&lt;="2021-Q2"), "CARES_Period", "Normal_Period")</f>
        <v>Normal_Period</v>
      </c>
    </row>
    <row r="522" spans="1:8" x14ac:dyDescent="0.25">
      <c r="A522" t="s">
        <v>41</v>
      </c>
      <c r="B522" s="1" t="s">
        <v>66</v>
      </c>
      <c r="C522">
        <v>215165</v>
      </c>
      <c r="D522">
        <v>86.473333333333329</v>
      </c>
      <c r="E522">
        <v>2154720</v>
      </c>
      <c r="F522">
        <v>266791</v>
      </c>
      <c r="G522">
        <v>439365882</v>
      </c>
      <c r="H522" t="str">
        <f>IF(AND(Fact_Financials_Master[[#This Row],[Year_Quarter]]&gt;="2020-Q2", Fact_Financials_Master[[#This Row],[Year_Quarter]]&lt;="2021-Q2"), "CARES_Period", "Normal_Period")</f>
        <v>Normal_Period</v>
      </c>
    </row>
    <row r="523" spans="1:8" x14ac:dyDescent="0.25">
      <c r="A523" t="s">
        <v>41</v>
      </c>
      <c r="B523" s="1" t="s">
        <v>65</v>
      </c>
      <c r="C523">
        <v>-119892</v>
      </c>
      <c r="D523">
        <v>84.536666666666662</v>
      </c>
      <c r="E523">
        <v>1928022</v>
      </c>
      <c r="F523">
        <v>171150.64</v>
      </c>
      <c r="G523">
        <v>491117942</v>
      </c>
      <c r="H523" t="str">
        <f>IF(AND(Fact_Financials_Master[[#This Row],[Year_Quarter]]&gt;="2020-Q2", Fact_Financials_Master[[#This Row],[Year_Quarter]]&lt;="2021-Q2"), "CARES_Period", "Normal_Period")</f>
        <v>Normal_Period</v>
      </c>
    </row>
    <row r="524" spans="1:8" x14ac:dyDescent="0.25">
      <c r="A524" t="s">
        <v>41</v>
      </c>
      <c r="B524" s="1" t="s">
        <v>67</v>
      </c>
      <c r="C524">
        <v>11254</v>
      </c>
      <c r="D524">
        <v>84.573333333333338</v>
      </c>
      <c r="E524">
        <v>851772</v>
      </c>
      <c r="F524">
        <v>108521.15</v>
      </c>
      <c r="G524">
        <v>246180055</v>
      </c>
      <c r="H524" t="str">
        <f>IF(AND(Fact_Financials_Master[[#This Row],[Year_Quarter]]&gt;="2020-Q2", Fact_Financials_Master[[#This Row],[Year_Quarter]]&lt;="2021-Q2"), "CARES_Period", "Normal_Period")</f>
        <v>Normal_Period</v>
      </c>
    </row>
    <row r="525" spans="1:8" x14ac:dyDescent="0.25">
      <c r="A525" t="s">
        <v>41</v>
      </c>
      <c r="B525" s="1" t="s">
        <v>64</v>
      </c>
      <c r="C525">
        <v>732723</v>
      </c>
      <c r="D525">
        <v>84.713333333333338</v>
      </c>
      <c r="E525">
        <v>5742434</v>
      </c>
      <c r="F525">
        <v>971585</v>
      </c>
      <c r="G525">
        <v>1142965267</v>
      </c>
      <c r="H525" t="str">
        <f>IF(AND(Fact_Financials_Master[[#This Row],[Year_Quarter]]&gt;="2020-Q2", Fact_Financials_Master[[#This Row],[Year_Quarter]]&lt;="2021-Q2"), "CARES_Period", "Normal_Period")</f>
        <v>Normal_Period</v>
      </c>
    </row>
    <row r="526" spans="1:8" x14ac:dyDescent="0.25">
      <c r="A526" t="s">
        <v>42</v>
      </c>
      <c r="B526" s="1" t="s">
        <v>66</v>
      </c>
      <c r="C526">
        <v>229800</v>
      </c>
      <c r="D526">
        <v>85.19</v>
      </c>
      <c r="E526">
        <v>2210301</v>
      </c>
      <c r="F526">
        <v>299563</v>
      </c>
      <c r="G526">
        <v>436668891</v>
      </c>
      <c r="H526" t="str">
        <f>IF(AND(Fact_Financials_Master[[#This Row],[Year_Quarter]]&gt;="2020-Q2", Fact_Financials_Master[[#This Row],[Year_Quarter]]&lt;="2021-Q2"), "CARES_Period", "Normal_Period")</f>
        <v>Normal_Period</v>
      </c>
    </row>
    <row r="527" spans="1:8" x14ac:dyDescent="0.25">
      <c r="A527" t="s">
        <v>42</v>
      </c>
      <c r="B527" s="1" t="s">
        <v>65</v>
      </c>
      <c r="C527">
        <v>50470</v>
      </c>
      <c r="D527">
        <v>86.146666666666661</v>
      </c>
      <c r="E527">
        <v>2007943</v>
      </c>
      <c r="F527">
        <v>128958.94</v>
      </c>
      <c r="G527">
        <v>514805686</v>
      </c>
      <c r="H527" t="str">
        <f>IF(AND(Fact_Financials_Master[[#This Row],[Year_Quarter]]&gt;="2020-Q2", Fact_Financials_Master[[#This Row],[Year_Quarter]]&lt;="2021-Q2"), "CARES_Period", "Normal_Period")</f>
        <v>Normal_Period</v>
      </c>
    </row>
    <row r="528" spans="1:8" x14ac:dyDescent="0.25">
      <c r="A528" t="s">
        <v>42</v>
      </c>
      <c r="B528" s="1" t="s">
        <v>63</v>
      </c>
      <c r="C528">
        <v>836361</v>
      </c>
      <c r="D528">
        <v>87.076666666666668</v>
      </c>
      <c r="E528">
        <v>11003046</v>
      </c>
      <c r="F528">
        <v>1203512.1000000001</v>
      </c>
      <c r="G528">
        <v>2038746452</v>
      </c>
      <c r="H528" t="str">
        <f>IF(AND(Fact_Financials_Master[[#This Row],[Year_Quarter]]&gt;="2020-Q2", Fact_Financials_Master[[#This Row],[Year_Quarter]]&lt;="2021-Q2"), "CARES_Period", "Normal_Period")</f>
        <v>Normal_Period</v>
      </c>
    </row>
    <row r="529" spans="1:8" x14ac:dyDescent="0.25">
      <c r="A529" t="s">
        <v>45</v>
      </c>
      <c r="B529" s="1" t="s">
        <v>63</v>
      </c>
      <c r="C529">
        <v>1051939</v>
      </c>
      <c r="D529">
        <v>88.206666666666663</v>
      </c>
      <c r="E529">
        <v>11401369</v>
      </c>
      <c r="F529">
        <v>1472345.77</v>
      </c>
      <c r="G529">
        <v>1873594576</v>
      </c>
      <c r="H529" t="str">
        <f>IF(AND(Fact_Financials_Master[[#This Row],[Year_Quarter]]&gt;="2020-Q2", Fact_Financials_Master[[#This Row],[Year_Quarter]]&lt;="2021-Q2"), "CARES_Period", "Normal_Period")</f>
        <v>Normal_Period</v>
      </c>
    </row>
    <row r="530" spans="1:8" x14ac:dyDescent="0.25">
      <c r="A530" t="s">
        <v>42</v>
      </c>
      <c r="B530" s="1" t="s">
        <v>67</v>
      </c>
      <c r="C530">
        <v>97480</v>
      </c>
      <c r="D530">
        <v>86.696666666666673</v>
      </c>
      <c r="E530">
        <v>904330</v>
      </c>
      <c r="F530">
        <v>145125.39000000001</v>
      </c>
      <c r="G530">
        <v>258818306</v>
      </c>
      <c r="H530" t="str">
        <f>IF(AND(Fact_Financials_Master[[#This Row],[Year_Quarter]]&gt;="2020-Q2", Fact_Financials_Master[[#This Row],[Year_Quarter]]&lt;="2021-Q2"), "CARES_Period", "Normal_Period")</f>
        <v>Normal_Period</v>
      </c>
    </row>
    <row r="531" spans="1:8" x14ac:dyDescent="0.25">
      <c r="A531" t="s">
        <v>54</v>
      </c>
      <c r="B531" s="1" t="s">
        <v>66</v>
      </c>
      <c r="C531">
        <v>179188</v>
      </c>
      <c r="D531">
        <v>80.686666666666667</v>
      </c>
      <c r="E531">
        <v>1951437</v>
      </c>
      <c r="F531">
        <v>224130</v>
      </c>
      <c r="G531">
        <v>333456499</v>
      </c>
      <c r="H531" t="str">
        <f>IF(AND(Fact_Financials_Master[[#This Row],[Year_Quarter]]&gt;="2020-Q2", Fact_Financials_Master[[#This Row],[Year_Quarter]]&lt;="2021-Q2"), "CARES_Period", "Normal_Period")</f>
        <v>Normal_Period</v>
      </c>
    </row>
    <row r="532" spans="1:8" x14ac:dyDescent="0.25">
      <c r="A532" t="s">
        <v>46</v>
      </c>
      <c r="B532" s="1" t="s">
        <v>63</v>
      </c>
      <c r="C532">
        <v>1023959</v>
      </c>
      <c r="D532">
        <v>86.87</v>
      </c>
      <c r="E532">
        <v>11380482</v>
      </c>
      <c r="F532">
        <v>1473706.79</v>
      </c>
      <c r="G532">
        <v>1833020108</v>
      </c>
      <c r="H532" t="str">
        <f>IF(AND(Fact_Financials_Master[[#This Row],[Year_Quarter]]&gt;="2020-Q2", Fact_Financials_Master[[#This Row],[Year_Quarter]]&lt;="2021-Q2"), "CARES_Period", "Normal_Period")</f>
        <v>Normal_Period</v>
      </c>
    </row>
    <row r="533" spans="1:8" x14ac:dyDescent="0.25">
      <c r="A533" t="s">
        <v>42</v>
      </c>
      <c r="B533" s="1" t="s">
        <v>64</v>
      </c>
      <c r="C533">
        <v>615460</v>
      </c>
      <c r="D533">
        <v>83.696666666666673</v>
      </c>
      <c r="E533">
        <v>5574877</v>
      </c>
      <c r="F533">
        <v>797969</v>
      </c>
      <c r="G533">
        <v>1151604028</v>
      </c>
      <c r="H533" t="str">
        <f>IF(AND(Fact_Financials_Master[[#This Row],[Year_Quarter]]&gt;="2020-Q2", Fact_Financials_Master[[#This Row],[Year_Quarter]]&lt;="2021-Q2"), "CARES_Period", "Normal_Period")</f>
        <v>Normal_Period</v>
      </c>
    </row>
    <row r="534" spans="1:8" x14ac:dyDescent="0.25">
      <c r="A534" t="s">
        <v>43</v>
      </c>
      <c r="B534" s="1" t="s">
        <v>65</v>
      </c>
      <c r="C534">
        <v>169324</v>
      </c>
      <c r="D534">
        <v>83.996666666666655</v>
      </c>
      <c r="E534">
        <v>1968722</v>
      </c>
      <c r="F534">
        <v>220947.63</v>
      </c>
      <c r="G534">
        <v>476458144</v>
      </c>
      <c r="H534" t="str">
        <f>IF(AND(Fact_Financials_Master[[#This Row],[Year_Quarter]]&gt;="2020-Q2", Fact_Financials_Master[[#This Row],[Year_Quarter]]&lt;="2021-Q2"), "CARES_Period", "Normal_Period")</f>
        <v>Normal_Period</v>
      </c>
    </row>
    <row r="535" spans="1:8" x14ac:dyDescent="0.25">
      <c r="A535" t="s">
        <v>43</v>
      </c>
      <c r="B535" s="1" t="s">
        <v>67</v>
      </c>
      <c r="C535">
        <v>91936</v>
      </c>
      <c r="D535">
        <v>86.016666666666666</v>
      </c>
      <c r="E535">
        <v>862795</v>
      </c>
      <c r="F535">
        <v>136064.97</v>
      </c>
      <c r="G535">
        <v>229680014</v>
      </c>
      <c r="H535" t="str">
        <f>IF(AND(Fact_Financials_Master[[#This Row],[Year_Quarter]]&gt;="2020-Q2", Fact_Financials_Master[[#This Row],[Year_Quarter]]&lt;="2021-Q2"), "CARES_Period", "Normal_Period")</f>
        <v>Normal_Period</v>
      </c>
    </row>
    <row r="536" spans="1:8" x14ac:dyDescent="0.25">
      <c r="A536" t="s">
        <v>43</v>
      </c>
      <c r="B536" s="1" t="s">
        <v>64</v>
      </c>
      <c r="C536">
        <v>654188</v>
      </c>
      <c r="D536">
        <v>83.6</v>
      </c>
      <c r="E536">
        <v>5704022</v>
      </c>
      <c r="F536">
        <v>819684</v>
      </c>
      <c r="G536">
        <v>1140077734</v>
      </c>
      <c r="H536" t="str">
        <f>IF(AND(Fact_Financials_Master[[#This Row],[Year_Quarter]]&gt;="2020-Q2", Fact_Financials_Master[[#This Row],[Year_Quarter]]&lt;="2021-Q2"), "CARES_Period", "Normal_Period")</f>
        <v>Normal_Period</v>
      </c>
    </row>
    <row r="537" spans="1:8" x14ac:dyDescent="0.25">
      <c r="A537" t="s">
        <v>58</v>
      </c>
      <c r="B537" s="1" t="s">
        <v>63</v>
      </c>
      <c r="C537">
        <v>942051</v>
      </c>
      <c r="D537">
        <v>87.226666666666674</v>
      </c>
      <c r="E537">
        <v>12876668</v>
      </c>
      <c r="F537">
        <v>1458956.5899999999</v>
      </c>
      <c r="G537">
        <v>3168301453</v>
      </c>
      <c r="H537" t="str">
        <f>IF(AND(Fact_Financials_Master[[#This Row],[Year_Quarter]]&gt;="2020-Q2", Fact_Financials_Master[[#This Row],[Year_Quarter]]&lt;="2021-Q2"), "CARES_Period", "Normal_Period")</f>
        <v>Normal_Period</v>
      </c>
    </row>
    <row r="538" spans="1:8" x14ac:dyDescent="0.25">
      <c r="A538" t="s">
        <v>59</v>
      </c>
      <c r="B538" s="1" t="s">
        <v>63</v>
      </c>
      <c r="C538">
        <v>844356</v>
      </c>
      <c r="D538">
        <v>86.893333333333331</v>
      </c>
      <c r="E538">
        <v>12400352</v>
      </c>
      <c r="F538">
        <v>1377863.51</v>
      </c>
      <c r="G538">
        <v>2805990251</v>
      </c>
      <c r="H538" t="str">
        <f>IF(AND(Fact_Financials_Master[[#This Row],[Year_Quarter]]&gt;="2020-Q2", Fact_Financials_Master[[#This Row],[Year_Quarter]]&lt;="2021-Q2"), "CARES_Period", "Normal_Period")</f>
        <v>Normal_Period</v>
      </c>
    </row>
    <row r="539" spans="1:8" x14ac:dyDescent="0.25">
      <c r="A539" t="s">
        <v>44</v>
      </c>
      <c r="B539" s="1" t="s">
        <v>65</v>
      </c>
      <c r="C539">
        <v>41574</v>
      </c>
      <c r="D539">
        <v>83.433333333333337</v>
      </c>
      <c r="E539">
        <v>1871279</v>
      </c>
      <c r="F539">
        <v>83295.87</v>
      </c>
      <c r="G539">
        <v>437105346</v>
      </c>
      <c r="H539" t="str">
        <f>IF(AND(Fact_Financials_Master[[#This Row],[Year_Quarter]]&gt;="2020-Q2", Fact_Financials_Master[[#This Row],[Year_Quarter]]&lt;="2021-Q2"), "CARES_Period", "Normal_Period")</f>
        <v>Normal_Period</v>
      </c>
    </row>
    <row r="540" spans="1:8" x14ac:dyDescent="0.25">
      <c r="A540" t="s">
        <v>44</v>
      </c>
      <c r="B540" s="1" t="s">
        <v>68</v>
      </c>
      <c r="C540">
        <v>27053</v>
      </c>
      <c r="D540">
        <v>86.706666666666663</v>
      </c>
      <c r="E540">
        <v>546583</v>
      </c>
      <c r="F540">
        <v>30567.659999999996</v>
      </c>
      <c r="G540">
        <v>120016516</v>
      </c>
      <c r="H540" t="str">
        <f>IF(AND(Fact_Financials_Master[[#This Row],[Year_Quarter]]&gt;="2020-Q2", Fact_Financials_Master[[#This Row],[Year_Quarter]]&lt;="2021-Q2"), "CARES_Period", "Normal_Period")</f>
        <v>Normal_Period</v>
      </c>
    </row>
    <row r="541" spans="1:8" x14ac:dyDescent="0.25">
      <c r="A541" t="s">
        <v>44</v>
      </c>
      <c r="B541" s="1" t="s">
        <v>67</v>
      </c>
      <c r="C541">
        <v>56076</v>
      </c>
      <c r="D541">
        <v>83.736666666666665</v>
      </c>
      <c r="E541">
        <v>855796</v>
      </c>
      <c r="F541">
        <v>87804.39</v>
      </c>
      <c r="G541">
        <v>229636084</v>
      </c>
      <c r="H541" t="str">
        <f>IF(AND(Fact_Financials_Master[[#This Row],[Year_Quarter]]&gt;="2020-Q2", Fact_Financials_Master[[#This Row],[Year_Quarter]]&lt;="2021-Q2"), "CARES_Period", "Normal_Period")</f>
        <v>Normal_Period</v>
      </c>
    </row>
    <row r="542" spans="1:8" x14ac:dyDescent="0.25">
      <c r="A542" t="s">
        <v>44</v>
      </c>
      <c r="B542" s="1" t="s">
        <v>64</v>
      </c>
      <c r="C542">
        <v>387114</v>
      </c>
      <c r="D542">
        <v>80.83</v>
      </c>
      <c r="E542">
        <v>5149183</v>
      </c>
      <c r="F542">
        <v>504939</v>
      </c>
      <c r="G542">
        <v>968501700</v>
      </c>
      <c r="H542" t="str">
        <f>IF(AND(Fact_Financials_Master[[#This Row],[Year_Quarter]]&gt;="2020-Q2", Fact_Financials_Master[[#This Row],[Year_Quarter]]&lt;="2021-Q2"), "CARES_Period", "Normal_Period")</f>
        <v>Normal_Period</v>
      </c>
    </row>
    <row r="543" spans="1:8" x14ac:dyDescent="0.25">
      <c r="A543" t="s">
        <v>45</v>
      </c>
      <c r="B543" s="1" t="s">
        <v>66</v>
      </c>
      <c r="C543">
        <v>256378</v>
      </c>
      <c r="D543">
        <v>86.543333333333337</v>
      </c>
      <c r="E543">
        <v>2286496</v>
      </c>
      <c r="F543">
        <v>357660</v>
      </c>
      <c r="G543">
        <v>426337404</v>
      </c>
      <c r="H543" t="str">
        <f>IF(AND(Fact_Financials_Master[[#This Row],[Year_Quarter]]&gt;="2020-Q2", Fact_Financials_Master[[#This Row],[Year_Quarter]]&lt;="2021-Q2"), "CARES_Period", "Normal_Period")</f>
        <v>Normal_Period</v>
      </c>
    </row>
    <row r="544" spans="1:8" x14ac:dyDescent="0.25">
      <c r="A544" t="s">
        <v>45</v>
      </c>
      <c r="B544" s="1" t="s">
        <v>65</v>
      </c>
      <c r="C544">
        <v>179484</v>
      </c>
      <c r="D544">
        <v>87.27</v>
      </c>
      <c r="E544">
        <v>2105423</v>
      </c>
      <c r="F544">
        <v>249869.81</v>
      </c>
      <c r="G544">
        <v>484275565</v>
      </c>
      <c r="H544" t="str">
        <f>IF(AND(Fact_Financials_Master[[#This Row],[Year_Quarter]]&gt;="2020-Q2", Fact_Financials_Master[[#This Row],[Year_Quarter]]&lt;="2021-Q2"), "CARES_Period", "Normal_Period")</f>
        <v>Normal_Period</v>
      </c>
    </row>
    <row r="545" spans="1:8" x14ac:dyDescent="0.25">
      <c r="A545" t="s">
        <v>45</v>
      </c>
      <c r="B545" s="1" t="s">
        <v>68</v>
      </c>
      <c r="C545">
        <v>80534</v>
      </c>
      <c r="D545">
        <v>88.483333333333334</v>
      </c>
      <c r="E545">
        <v>637664</v>
      </c>
      <c r="F545">
        <v>101147.5</v>
      </c>
      <c r="G545">
        <v>134095421</v>
      </c>
      <c r="H545" t="str">
        <f>IF(AND(Fact_Financials_Master[[#This Row],[Year_Quarter]]&gt;="2020-Q2", Fact_Financials_Master[[#This Row],[Year_Quarter]]&lt;="2021-Q2"), "CARES_Period", "Normal_Period")</f>
        <v>Normal_Period</v>
      </c>
    </row>
    <row r="546" spans="1:8" x14ac:dyDescent="0.25">
      <c r="A546" t="s">
        <v>45</v>
      </c>
      <c r="B546" s="1" t="s">
        <v>67</v>
      </c>
      <c r="C546">
        <v>114510</v>
      </c>
      <c r="D546">
        <v>86.056666666666672</v>
      </c>
      <c r="E546">
        <v>1012956</v>
      </c>
      <c r="F546">
        <v>163938.36000000002</v>
      </c>
      <c r="G546">
        <v>265005455</v>
      </c>
      <c r="H546" t="str">
        <f>IF(AND(Fact_Financials_Master[[#This Row],[Year_Quarter]]&gt;="2020-Q2", Fact_Financials_Master[[#This Row],[Year_Quarter]]&lt;="2021-Q2"), "CARES_Period", "Normal_Period")</f>
        <v>Normal_Period</v>
      </c>
    </row>
    <row r="547" spans="1:8" x14ac:dyDescent="0.25">
      <c r="A547" t="s">
        <v>45</v>
      </c>
      <c r="B547" s="1" t="s">
        <v>64</v>
      </c>
      <c r="C547">
        <v>740536</v>
      </c>
      <c r="D547">
        <v>86.33</v>
      </c>
      <c r="E547">
        <v>5909468</v>
      </c>
      <c r="F547">
        <v>968047</v>
      </c>
      <c r="G547">
        <v>1084476761</v>
      </c>
      <c r="H547" t="str">
        <f>IF(AND(Fact_Financials_Master[[#This Row],[Year_Quarter]]&gt;="2020-Q2", Fact_Financials_Master[[#This Row],[Year_Quarter]]&lt;="2021-Q2"), "CARES_Period", "Normal_Period")</f>
        <v>Normal_Period</v>
      </c>
    </row>
    <row r="548" spans="1:8" x14ac:dyDescent="0.25">
      <c r="A548" t="s">
        <v>46</v>
      </c>
      <c r="B548" s="1" t="s">
        <v>66</v>
      </c>
      <c r="C548">
        <v>311173</v>
      </c>
      <c r="D548">
        <v>86.063333333333333</v>
      </c>
      <c r="E548">
        <v>2387392</v>
      </c>
      <c r="F548">
        <v>407567</v>
      </c>
      <c r="G548">
        <v>412144359</v>
      </c>
      <c r="H548" t="str">
        <f>IF(AND(Fact_Financials_Master[[#This Row],[Year_Quarter]]&gt;="2020-Q2", Fact_Financials_Master[[#This Row],[Year_Quarter]]&lt;="2021-Q2"), "CARES_Period", "Normal_Period")</f>
        <v>Normal_Period</v>
      </c>
    </row>
    <row r="549" spans="1:8" x14ac:dyDescent="0.25">
      <c r="A549" t="s">
        <v>46</v>
      </c>
      <c r="B549" s="1" t="s">
        <v>65</v>
      </c>
      <c r="C549">
        <v>186516</v>
      </c>
      <c r="D549">
        <v>86.173333333333332</v>
      </c>
      <c r="E549">
        <v>2086180</v>
      </c>
      <c r="F549">
        <v>243200.53999999998</v>
      </c>
      <c r="G549">
        <v>471055532</v>
      </c>
      <c r="H549" t="str">
        <f>IF(AND(Fact_Financials_Master[[#This Row],[Year_Quarter]]&gt;="2020-Q2", Fact_Financials_Master[[#This Row],[Year_Quarter]]&lt;="2021-Q2"), "CARES_Period", "Normal_Period")</f>
        <v>Normal_Period</v>
      </c>
    </row>
    <row r="550" spans="1:8" x14ac:dyDescent="0.25">
      <c r="A550" t="s">
        <v>46</v>
      </c>
      <c r="B550" s="1" t="s">
        <v>68</v>
      </c>
      <c r="C550">
        <v>87669</v>
      </c>
      <c r="D550">
        <v>86.210000000000008</v>
      </c>
      <c r="E550">
        <v>668517</v>
      </c>
      <c r="F550">
        <v>109289.17000000001</v>
      </c>
      <c r="G550">
        <v>143225931</v>
      </c>
      <c r="H550" t="str">
        <f>IF(AND(Fact_Financials_Master[[#This Row],[Year_Quarter]]&gt;="2020-Q2", Fact_Financials_Master[[#This Row],[Year_Quarter]]&lt;="2021-Q2"), "CARES_Period", "Normal_Period")</f>
        <v>Normal_Period</v>
      </c>
    </row>
    <row r="551" spans="1:8" x14ac:dyDescent="0.25">
      <c r="A551" t="s">
        <v>47</v>
      </c>
      <c r="B551" s="1" t="s">
        <v>66</v>
      </c>
      <c r="C551">
        <v>181235</v>
      </c>
      <c r="D551">
        <v>83.773333333333341</v>
      </c>
      <c r="E551">
        <v>2225889</v>
      </c>
      <c r="F551">
        <v>244158</v>
      </c>
      <c r="G551">
        <v>405557345</v>
      </c>
      <c r="H551" t="str">
        <f>IF(AND(Fact_Financials_Master[[#This Row],[Year_Quarter]]&gt;="2020-Q2", Fact_Financials_Master[[#This Row],[Year_Quarter]]&lt;="2021-Q2"), "CARES_Period", "Normal_Period")</f>
        <v>Normal_Period</v>
      </c>
    </row>
    <row r="552" spans="1:8" x14ac:dyDescent="0.25">
      <c r="A552" t="s">
        <v>46</v>
      </c>
      <c r="B552" s="1" t="s">
        <v>67</v>
      </c>
      <c r="C552">
        <v>83464</v>
      </c>
      <c r="D552">
        <v>84.63666666666667</v>
      </c>
      <c r="E552">
        <v>991968</v>
      </c>
      <c r="F552">
        <v>124681.86</v>
      </c>
      <c r="G552">
        <v>253846988</v>
      </c>
      <c r="H552" t="str">
        <f>IF(AND(Fact_Financials_Master[[#This Row],[Year_Quarter]]&gt;="2020-Q2", Fact_Financials_Master[[#This Row],[Year_Quarter]]&lt;="2021-Q2"), "CARES_Period", "Normal_Period")</f>
        <v>Normal_Period</v>
      </c>
    </row>
    <row r="553" spans="1:8" x14ac:dyDescent="0.25">
      <c r="A553" t="s">
        <v>55</v>
      </c>
      <c r="B553" s="1" t="s">
        <v>64</v>
      </c>
      <c r="C553">
        <v>67711</v>
      </c>
      <c r="D553">
        <v>81.053333333333327</v>
      </c>
      <c r="E553">
        <v>5051380</v>
      </c>
      <c r="F553">
        <v>194816</v>
      </c>
      <c r="G553">
        <v>1013177135</v>
      </c>
      <c r="H553" t="str">
        <f>IF(AND(Fact_Financials_Master[[#This Row],[Year_Quarter]]&gt;="2020-Q2", Fact_Financials_Master[[#This Row],[Year_Quarter]]&lt;="2021-Q2"), "CARES_Period", "Normal_Period")</f>
        <v>Normal_Period</v>
      </c>
    </row>
    <row r="554" spans="1:8" x14ac:dyDescent="0.25">
      <c r="A554" t="s">
        <v>46</v>
      </c>
      <c r="B554" s="1" t="s">
        <v>64</v>
      </c>
      <c r="C554">
        <v>658875</v>
      </c>
      <c r="D554">
        <v>83.39</v>
      </c>
      <c r="E554">
        <v>5639820</v>
      </c>
      <c r="F554">
        <v>819474</v>
      </c>
      <c r="G554">
        <v>1034876651</v>
      </c>
      <c r="H554" t="str">
        <f>IF(AND(Fact_Financials_Master[[#This Row],[Year_Quarter]]&gt;="2020-Q2", Fact_Financials_Master[[#This Row],[Year_Quarter]]&lt;="2021-Q2"), "CARES_Period", "Normal_Period")</f>
        <v>Normal_Period</v>
      </c>
    </row>
    <row r="555" spans="1:8" x14ac:dyDescent="0.25">
      <c r="A555" t="s">
        <v>47</v>
      </c>
      <c r="B555" s="1" t="s">
        <v>65</v>
      </c>
      <c r="C555">
        <v>161393</v>
      </c>
      <c r="D555">
        <v>82.926666666666677</v>
      </c>
      <c r="E555">
        <v>2031125</v>
      </c>
      <c r="F555">
        <v>227882.35</v>
      </c>
      <c r="G555">
        <v>454755085</v>
      </c>
      <c r="H555" t="str">
        <f>IF(AND(Fact_Financials_Master[[#This Row],[Year_Quarter]]&gt;="2020-Q2", Fact_Financials_Master[[#This Row],[Year_Quarter]]&lt;="2021-Q2"), "CARES_Period", "Normal_Period")</f>
        <v>Normal_Period</v>
      </c>
    </row>
    <row r="556" spans="1:8" x14ac:dyDescent="0.25">
      <c r="A556" t="s">
        <v>47</v>
      </c>
      <c r="B556" s="1" t="s">
        <v>68</v>
      </c>
      <c r="C556">
        <v>55591</v>
      </c>
      <c r="D556">
        <v>85.173333333333332</v>
      </c>
      <c r="E556">
        <v>655586</v>
      </c>
      <c r="F556">
        <v>67453.48</v>
      </c>
      <c r="G556">
        <v>146181799</v>
      </c>
      <c r="H556" t="str">
        <f>IF(AND(Fact_Financials_Master[[#This Row],[Year_Quarter]]&gt;="2020-Q2", Fact_Financials_Master[[#This Row],[Year_Quarter]]&lt;="2021-Q2"), "CARES_Period", "Normal_Period")</f>
        <v>Normal_Period</v>
      </c>
    </row>
    <row r="557" spans="1:8" x14ac:dyDescent="0.25">
      <c r="A557" t="s">
        <v>47</v>
      </c>
      <c r="B557" s="1" t="s">
        <v>67</v>
      </c>
      <c r="C557">
        <v>81214</v>
      </c>
      <c r="D557">
        <v>85.536666666666662</v>
      </c>
      <c r="E557">
        <v>969816</v>
      </c>
      <c r="F557">
        <v>124623.94</v>
      </c>
      <c r="G557">
        <v>244988658</v>
      </c>
      <c r="H557" t="str">
        <f>IF(AND(Fact_Financials_Master[[#This Row],[Year_Quarter]]&gt;="2020-Q2", Fact_Financials_Master[[#This Row],[Year_Quarter]]&lt;="2021-Q2"), "CARES_Period", "Normal_Period")</f>
        <v>Normal_Period</v>
      </c>
    </row>
    <row r="558" spans="1:8" x14ac:dyDescent="0.25">
      <c r="A558" t="s">
        <v>47</v>
      </c>
      <c r="B558" s="1" t="s">
        <v>64</v>
      </c>
      <c r="C558">
        <v>513799</v>
      </c>
      <c r="D558">
        <v>83.06</v>
      </c>
      <c r="E558">
        <v>5729282</v>
      </c>
      <c r="F558">
        <v>664733</v>
      </c>
      <c r="G558">
        <v>1055382052</v>
      </c>
      <c r="H558" t="str">
        <f>IF(AND(Fact_Financials_Master[[#This Row],[Year_Quarter]]&gt;="2020-Q2", Fact_Financials_Master[[#This Row],[Year_Quarter]]&lt;="2021-Q2"), "CARES_Period", "Normal_Period")</f>
        <v>Normal_Period</v>
      </c>
    </row>
    <row r="559" spans="1:8" x14ac:dyDescent="0.25">
      <c r="A559" t="s">
        <v>57</v>
      </c>
      <c r="B559" s="1" t="s">
        <v>64</v>
      </c>
      <c r="C559">
        <v>760132</v>
      </c>
      <c r="D559">
        <v>87.086666666666659</v>
      </c>
      <c r="E559">
        <v>6728340</v>
      </c>
      <c r="F559">
        <v>1158160</v>
      </c>
      <c r="G559">
        <v>1563400310</v>
      </c>
      <c r="H559" t="str">
        <f>IF(AND(Fact_Financials_Master[[#This Row],[Year_Quarter]]&gt;="2020-Q2", Fact_Financials_Master[[#This Row],[Year_Quarter]]&lt;="2021-Q2"), "CARES_Period", "Normal_Period")</f>
        <v>Normal_Period</v>
      </c>
    </row>
    <row r="560" spans="1:8" x14ac:dyDescent="0.25">
      <c r="A560" t="s">
        <v>58</v>
      </c>
      <c r="B560" s="1" t="s">
        <v>64</v>
      </c>
      <c r="C560">
        <v>277063</v>
      </c>
      <c r="D560">
        <v>85.233333333333334</v>
      </c>
      <c r="E560">
        <v>6220108</v>
      </c>
      <c r="F560">
        <v>395148</v>
      </c>
      <c r="G560">
        <v>1664173236</v>
      </c>
      <c r="H560" t="str">
        <f>IF(AND(Fact_Financials_Master[[#This Row],[Year_Quarter]]&gt;="2020-Q2", Fact_Financials_Master[[#This Row],[Year_Quarter]]&lt;="2021-Q2"), "CARES_Period", "Normal_Period")</f>
        <v>Normal_Period</v>
      </c>
    </row>
    <row r="561" spans="1:8" x14ac:dyDescent="0.25">
      <c r="A561" t="s">
        <v>59</v>
      </c>
      <c r="B561" s="1" t="s">
        <v>65</v>
      </c>
      <c r="C561">
        <v>23475</v>
      </c>
      <c r="D561">
        <v>84.226666666666674</v>
      </c>
      <c r="E561">
        <v>2415043</v>
      </c>
      <c r="F561">
        <v>100326.95999999999</v>
      </c>
      <c r="G561">
        <v>797531480</v>
      </c>
      <c r="H561" t="str">
        <f>IF(AND(Fact_Financials_Master[[#This Row],[Year_Quarter]]&gt;="2020-Q2", Fact_Financials_Master[[#This Row],[Year_Quarter]]&lt;="2021-Q2"), "CARES_Period", "Normal_Period")</f>
        <v>Normal_Period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DA8A1-2D90-4170-AD24-D3E689FFBFF1}">
  <dimension ref="A1:C561"/>
  <sheetViews>
    <sheetView workbookViewId="0"/>
  </sheetViews>
  <sheetFormatPr defaultRowHeight="15" x14ac:dyDescent="0.25"/>
  <cols>
    <col min="1" max="1" width="17.42578125" bestFit="1" customWidth="1"/>
    <col min="2" max="2" width="15" bestFit="1" customWidth="1"/>
    <col min="3" max="3" width="11.5703125" bestFit="1" customWidth="1"/>
  </cols>
  <sheetData>
    <row r="1" spans="1:3" x14ac:dyDescent="0.25">
      <c r="A1" t="s">
        <v>1</v>
      </c>
      <c r="B1" t="s">
        <v>0</v>
      </c>
      <c r="C1" t="s">
        <v>72</v>
      </c>
    </row>
    <row r="2" spans="1:3" x14ac:dyDescent="0.25">
      <c r="A2" t="s">
        <v>4</v>
      </c>
      <c r="B2" t="s">
        <v>3</v>
      </c>
      <c r="C2">
        <v>1142869172</v>
      </c>
    </row>
    <row r="3" spans="1:3" x14ac:dyDescent="0.25">
      <c r="A3" t="s">
        <v>66</v>
      </c>
      <c r="B3" t="s">
        <v>3</v>
      </c>
      <c r="C3">
        <v>109886338</v>
      </c>
    </row>
    <row r="4" spans="1:3" x14ac:dyDescent="0.25">
      <c r="A4" t="s">
        <v>65</v>
      </c>
      <c r="B4" t="s">
        <v>3</v>
      </c>
      <c r="C4">
        <v>214388168</v>
      </c>
    </row>
    <row r="5" spans="1:3" x14ac:dyDescent="0.25">
      <c r="A5" t="s">
        <v>62</v>
      </c>
      <c r="B5" t="s">
        <v>3</v>
      </c>
      <c r="C5">
        <v>1279161613</v>
      </c>
    </row>
    <row r="6" spans="1:3" x14ac:dyDescent="0.25">
      <c r="A6" t="s">
        <v>68</v>
      </c>
      <c r="B6" t="s">
        <v>3</v>
      </c>
      <c r="C6">
        <v>52101679</v>
      </c>
    </row>
    <row r="7" spans="1:3" x14ac:dyDescent="0.25">
      <c r="A7" t="s">
        <v>61</v>
      </c>
      <c r="B7" t="s">
        <v>3</v>
      </c>
      <c r="C7">
        <v>35933971</v>
      </c>
    </row>
    <row r="8" spans="1:3" x14ac:dyDescent="0.25">
      <c r="A8" t="s">
        <v>60</v>
      </c>
      <c r="B8" t="s">
        <v>3</v>
      </c>
      <c r="C8">
        <v>47725680</v>
      </c>
    </row>
    <row r="9" spans="1:3" x14ac:dyDescent="0.25">
      <c r="A9" t="s">
        <v>67</v>
      </c>
      <c r="B9" t="s">
        <v>3</v>
      </c>
      <c r="C9">
        <v>35890000</v>
      </c>
    </row>
    <row r="10" spans="1:3" x14ac:dyDescent="0.25">
      <c r="A10" t="s">
        <v>63</v>
      </c>
      <c r="B10" t="s">
        <v>3</v>
      </c>
      <c r="C10">
        <v>717066281</v>
      </c>
    </row>
    <row r="11" spans="1:3" x14ac:dyDescent="0.25">
      <c r="A11" t="s">
        <v>64</v>
      </c>
      <c r="B11" t="s">
        <v>3</v>
      </c>
      <c r="C11">
        <v>664187022</v>
      </c>
    </row>
    <row r="12" spans="1:3" x14ac:dyDescent="0.25">
      <c r="A12" t="s">
        <v>4</v>
      </c>
      <c r="B12" t="s">
        <v>5</v>
      </c>
      <c r="C12">
        <v>1163954774</v>
      </c>
    </row>
    <row r="13" spans="1:3" x14ac:dyDescent="0.25">
      <c r="A13" t="s">
        <v>66</v>
      </c>
      <c r="B13" t="s">
        <v>5</v>
      </c>
      <c r="C13">
        <v>122315952</v>
      </c>
    </row>
    <row r="14" spans="1:3" x14ac:dyDescent="0.25">
      <c r="A14" t="s">
        <v>65</v>
      </c>
      <c r="B14" t="s">
        <v>5</v>
      </c>
      <c r="C14">
        <v>226840604</v>
      </c>
    </row>
    <row r="15" spans="1:3" x14ac:dyDescent="0.25">
      <c r="A15" t="s">
        <v>62</v>
      </c>
      <c r="B15" t="s">
        <v>5</v>
      </c>
      <c r="C15">
        <v>1172884952</v>
      </c>
    </row>
    <row r="16" spans="1:3" x14ac:dyDescent="0.25">
      <c r="A16" t="s">
        <v>68</v>
      </c>
      <c r="B16" t="s">
        <v>5</v>
      </c>
      <c r="C16">
        <v>60049253</v>
      </c>
    </row>
    <row r="17" spans="1:3" x14ac:dyDescent="0.25">
      <c r="A17" t="s">
        <v>61</v>
      </c>
      <c r="B17" t="s">
        <v>5</v>
      </c>
      <c r="C17">
        <v>45149026</v>
      </c>
    </row>
    <row r="18" spans="1:3" x14ac:dyDescent="0.25">
      <c r="A18" t="s">
        <v>60</v>
      </c>
      <c r="B18" t="s">
        <v>5</v>
      </c>
      <c r="C18">
        <v>52065016</v>
      </c>
    </row>
    <row r="19" spans="1:3" x14ac:dyDescent="0.25">
      <c r="A19" t="s">
        <v>67</v>
      </c>
      <c r="B19" t="s">
        <v>5</v>
      </c>
      <c r="C19">
        <v>42743000</v>
      </c>
    </row>
    <row r="20" spans="1:3" x14ac:dyDescent="0.25">
      <c r="A20" t="s">
        <v>63</v>
      </c>
      <c r="B20" t="s">
        <v>5</v>
      </c>
      <c r="C20">
        <v>782707780</v>
      </c>
    </row>
    <row r="21" spans="1:3" x14ac:dyDescent="0.25">
      <c r="A21" t="s">
        <v>64</v>
      </c>
      <c r="B21" t="s">
        <v>5</v>
      </c>
      <c r="C21">
        <v>691349106</v>
      </c>
    </row>
    <row r="22" spans="1:3" x14ac:dyDescent="0.25">
      <c r="A22" t="s">
        <v>4</v>
      </c>
      <c r="B22" t="s">
        <v>6</v>
      </c>
      <c r="C22">
        <v>1270369512</v>
      </c>
    </row>
    <row r="23" spans="1:3" x14ac:dyDescent="0.25">
      <c r="A23" t="s">
        <v>66</v>
      </c>
      <c r="B23" t="s">
        <v>6</v>
      </c>
      <c r="C23">
        <v>148005291</v>
      </c>
    </row>
    <row r="24" spans="1:3" x14ac:dyDescent="0.25">
      <c r="A24" t="s">
        <v>65</v>
      </c>
      <c r="B24" t="s">
        <v>6</v>
      </c>
      <c r="C24">
        <v>245603348</v>
      </c>
    </row>
    <row r="25" spans="1:3" x14ac:dyDescent="0.25">
      <c r="A25" t="s">
        <v>62</v>
      </c>
      <c r="B25" t="s">
        <v>6</v>
      </c>
      <c r="C25">
        <v>1217848205</v>
      </c>
    </row>
    <row r="26" spans="1:3" x14ac:dyDescent="0.25">
      <c r="A26" t="s">
        <v>68</v>
      </c>
      <c r="B26" t="s">
        <v>6</v>
      </c>
      <c r="C26">
        <v>72138140</v>
      </c>
    </row>
    <row r="27" spans="1:3" x14ac:dyDescent="0.25">
      <c r="A27" t="s">
        <v>61</v>
      </c>
      <c r="B27" t="s">
        <v>6</v>
      </c>
      <c r="C27">
        <v>47985455</v>
      </c>
    </row>
    <row r="28" spans="1:3" x14ac:dyDescent="0.25">
      <c r="A28" t="s">
        <v>60</v>
      </c>
      <c r="B28" t="s">
        <v>6</v>
      </c>
      <c r="C28">
        <v>65644814</v>
      </c>
    </row>
    <row r="29" spans="1:3" x14ac:dyDescent="0.25">
      <c r="A29" t="s">
        <v>67</v>
      </c>
      <c r="B29" t="s">
        <v>6</v>
      </c>
      <c r="C29">
        <v>53201000</v>
      </c>
    </row>
    <row r="30" spans="1:3" x14ac:dyDescent="0.25">
      <c r="A30" t="s">
        <v>63</v>
      </c>
      <c r="B30" t="s">
        <v>6</v>
      </c>
      <c r="C30">
        <v>960760482</v>
      </c>
    </row>
    <row r="31" spans="1:3" x14ac:dyDescent="0.25">
      <c r="A31" t="s">
        <v>64</v>
      </c>
      <c r="B31" t="s">
        <v>6</v>
      </c>
      <c r="C31">
        <v>786032423</v>
      </c>
    </row>
    <row r="32" spans="1:3" x14ac:dyDescent="0.25">
      <c r="A32" t="s">
        <v>4</v>
      </c>
      <c r="B32" t="s">
        <v>7</v>
      </c>
      <c r="C32">
        <v>1279900027</v>
      </c>
    </row>
    <row r="33" spans="1:3" x14ac:dyDescent="0.25">
      <c r="A33" t="s">
        <v>66</v>
      </c>
      <c r="B33" t="s">
        <v>7</v>
      </c>
      <c r="C33">
        <v>150875137</v>
      </c>
    </row>
    <row r="34" spans="1:3" x14ac:dyDescent="0.25">
      <c r="A34" t="s">
        <v>65</v>
      </c>
      <c r="B34" t="s">
        <v>7</v>
      </c>
      <c r="C34">
        <v>227034909</v>
      </c>
    </row>
    <row r="35" spans="1:3" x14ac:dyDescent="0.25">
      <c r="A35" t="s">
        <v>62</v>
      </c>
      <c r="B35" t="s">
        <v>7</v>
      </c>
      <c r="C35">
        <v>1004245752</v>
      </c>
    </row>
    <row r="36" spans="1:3" x14ac:dyDescent="0.25">
      <c r="A36" t="s">
        <v>68</v>
      </c>
      <c r="B36" t="s">
        <v>7</v>
      </c>
      <c r="C36">
        <v>79304228</v>
      </c>
    </row>
    <row r="37" spans="1:3" x14ac:dyDescent="0.25">
      <c r="A37" t="s">
        <v>61</v>
      </c>
      <c r="B37" t="s">
        <v>7</v>
      </c>
      <c r="C37">
        <v>49447773</v>
      </c>
    </row>
    <row r="38" spans="1:3" x14ac:dyDescent="0.25">
      <c r="A38" t="s">
        <v>60</v>
      </c>
      <c r="B38" t="s">
        <v>7</v>
      </c>
      <c r="C38">
        <v>67457983</v>
      </c>
    </row>
    <row r="39" spans="1:3" x14ac:dyDescent="0.25">
      <c r="A39" t="s">
        <v>67</v>
      </c>
      <c r="B39" t="s">
        <v>7</v>
      </c>
      <c r="C39">
        <v>45947000</v>
      </c>
    </row>
    <row r="40" spans="1:3" x14ac:dyDescent="0.25">
      <c r="A40" t="s">
        <v>63</v>
      </c>
      <c r="B40" t="s">
        <v>7</v>
      </c>
      <c r="C40">
        <v>916534377</v>
      </c>
    </row>
    <row r="41" spans="1:3" x14ac:dyDescent="0.25">
      <c r="A41" t="s">
        <v>64</v>
      </c>
      <c r="B41" t="s">
        <v>7</v>
      </c>
      <c r="C41">
        <v>758083595</v>
      </c>
    </row>
    <row r="42" spans="1:3" x14ac:dyDescent="0.25">
      <c r="A42" t="s">
        <v>4</v>
      </c>
      <c r="B42" t="s">
        <v>8</v>
      </c>
      <c r="C42">
        <v>1301968079</v>
      </c>
    </row>
    <row r="43" spans="1:3" x14ac:dyDescent="0.25">
      <c r="A43" t="s">
        <v>66</v>
      </c>
      <c r="B43" t="s">
        <v>8</v>
      </c>
      <c r="C43">
        <v>152121928</v>
      </c>
    </row>
    <row r="44" spans="1:3" x14ac:dyDescent="0.25">
      <c r="A44" t="s">
        <v>65</v>
      </c>
      <c r="B44" t="s">
        <v>8</v>
      </c>
      <c r="C44">
        <v>254493606</v>
      </c>
    </row>
    <row r="45" spans="1:3" x14ac:dyDescent="0.25">
      <c r="A45" t="s">
        <v>62</v>
      </c>
      <c r="B45" t="s">
        <v>8</v>
      </c>
      <c r="C45">
        <v>1548361228</v>
      </c>
    </row>
    <row r="46" spans="1:3" x14ac:dyDescent="0.25">
      <c r="A46" t="s">
        <v>68</v>
      </c>
      <c r="B46" t="s">
        <v>8</v>
      </c>
      <c r="C46">
        <v>86275535</v>
      </c>
    </row>
    <row r="47" spans="1:3" x14ac:dyDescent="0.25">
      <c r="A47" t="s">
        <v>61</v>
      </c>
      <c r="B47" t="s">
        <v>8</v>
      </c>
      <c r="C47">
        <v>61472352</v>
      </c>
    </row>
    <row r="48" spans="1:3" x14ac:dyDescent="0.25">
      <c r="A48" t="s">
        <v>60</v>
      </c>
      <c r="B48" t="s">
        <v>8</v>
      </c>
      <c r="C48">
        <v>67133683</v>
      </c>
    </row>
    <row r="49" spans="1:3" x14ac:dyDescent="0.25">
      <c r="A49" t="s">
        <v>67</v>
      </c>
      <c r="B49" t="s">
        <v>8</v>
      </c>
      <c r="C49">
        <v>53856000</v>
      </c>
    </row>
    <row r="50" spans="1:3" x14ac:dyDescent="0.25">
      <c r="A50" t="s">
        <v>63</v>
      </c>
      <c r="B50" t="s">
        <v>8</v>
      </c>
      <c r="C50">
        <v>938719391</v>
      </c>
    </row>
    <row r="51" spans="1:3" x14ac:dyDescent="0.25">
      <c r="A51" t="s">
        <v>64</v>
      </c>
      <c r="B51" t="s">
        <v>8</v>
      </c>
      <c r="C51">
        <v>783040831</v>
      </c>
    </row>
    <row r="52" spans="1:3" x14ac:dyDescent="0.25">
      <c r="A52" t="s">
        <v>4</v>
      </c>
      <c r="B52" t="s">
        <v>9</v>
      </c>
      <c r="C52">
        <v>1434209451</v>
      </c>
    </row>
    <row r="53" spans="1:3" x14ac:dyDescent="0.25">
      <c r="A53" t="s">
        <v>66</v>
      </c>
      <c r="B53" t="s">
        <v>9</v>
      </c>
      <c r="C53">
        <v>175586335</v>
      </c>
    </row>
    <row r="54" spans="1:3" x14ac:dyDescent="0.25">
      <c r="A54" t="s">
        <v>65</v>
      </c>
      <c r="B54" t="s">
        <v>9</v>
      </c>
      <c r="C54">
        <v>278864290</v>
      </c>
    </row>
    <row r="55" spans="1:3" x14ac:dyDescent="0.25">
      <c r="A55" t="s">
        <v>62</v>
      </c>
      <c r="B55" t="s">
        <v>9</v>
      </c>
      <c r="C55">
        <v>1809776297</v>
      </c>
    </row>
    <row r="56" spans="1:3" x14ac:dyDescent="0.25">
      <c r="A56" t="s">
        <v>68</v>
      </c>
      <c r="B56" t="s">
        <v>9</v>
      </c>
      <c r="C56">
        <v>106028030</v>
      </c>
    </row>
    <row r="57" spans="1:3" x14ac:dyDescent="0.25">
      <c r="A57" t="s">
        <v>61</v>
      </c>
      <c r="B57" t="s">
        <v>9</v>
      </c>
      <c r="C57">
        <v>66421881</v>
      </c>
    </row>
    <row r="58" spans="1:3" x14ac:dyDescent="0.25">
      <c r="A58" t="s">
        <v>60</v>
      </c>
      <c r="B58" t="s">
        <v>9</v>
      </c>
      <c r="C58">
        <v>75386679</v>
      </c>
    </row>
    <row r="59" spans="1:3" x14ac:dyDescent="0.25">
      <c r="A59" t="s">
        <v>67</v>
      </c>
      <c r="B59" t="s">
        <v>9</v>
      </c>
      <c r="C59">
        <v>60695000</v>
      </c>
    </row>
    <row r="60" spans="1:3" x14ac:dyDescent="0.25">
      <c r="A60" t="s">
        <v>63</v>
      </c>
      <c r="B60" t="s">
        <v>9</v>
      </c>
      <c r="C60">
        <v>1106298049</v>
      </c>
    </row>
    <row r="61" spans="1:3" x14ac:dyDescent="0.25">
      <c r="A61" t="s">
        <v>64</v>
      </c>
      <c r="B61" t="s">
        <v>9</v>
      </c>
      <c r="C61">
        <v>893349762</v>
      </c>
    </row>
    <row r="62" spans="1:3" x14ac:dyDescent="0.25">
      <c r="A62" t="s">
        <v>4</v>
      </c>
      <c r="B62" t="s">
        <v>10</v>
      </c>
      <c r="C62">
        <v>1386611085</v>
      </c>
    </row>
    <row r="63" spans="1:3" x14ac:dyDescent="0.25">
      <c r="A63" t="s">
        <v>66</v>
      </c>
      <c r="B63" t="s">
        <v>10</v>
      </c>
      <c r="C63">
        <v>185882871</v>
      </c>
    </row>
    <row r="64" spans="1:3" x14ac:dyDescent="0.25">
      <c r="A64" t="s">
        <v>65</v>
      </c>
      <c r="B64" t="s">
        <v>10</v>
      </c>
      <c r="C64">
        <v>292167539</v>
      </c>
    </row>
    <row r="65" spans="1:3" x14ac:dyDescent="0.25">
      <c r="A65" t="s">
        <v>62</v>
      </c>
      <c r="B65" t="s">
        <v>10</v>
      </c>
      <c r="C65">
        <v>1958613863</v>
      </c>
    </row>
    <row r="66" spans="1:3" x14ac:dyDescent="0.25">
      <c r="A66" t="s">
        <v>68</v>
      </c>
      <c r="B66" t="s">
        <v>10</v>
      </c>
      <c r="C66">
        <v>138654427</v>
      </c>
    </row>
    <row r="67" spans="1:3" x14ac:dyDescent="0.25">
      <c r="A67" t="s">
        <v>61</v>
      </c>
      <c r="B67" t="s">
        <v>10</v>
      </c>
      <c r="C67">
        <v>65953853</v>
      </c>
    </row>
    <row r="68" spans="1:3" x14ac:dyDescent="0.25">
      <c r="A68" t="s">
        <v>60</v>
      </c>
      <c r="B68" t="s">
        <v>10</v>
      </c>
      <c r="C68">
        <v>80610685</v>
      </c>
    </row>
    <row r="69" spans="1:3" x14ac:dyDescent="0.25">
      <c r="A69" t="s">
        <v>67</v>
      </c>
      <c r="B69" t="s">
        <v>10</v>
      </c>
      <c r="C69">
        <v>63565000</v>
      </c>
    </row>
    <row r="70" spans="1:3" x14ac:dyDescent="0.25">
      <c r="A70" t="s">
        <v>63</v>
      </c>
      <c r="B70" t="s">
        <v>10</v>
      </c>
      <c r="C70">
        <v>1130835007</v>
      </c>
    </row>
    <row r="71" spans="1:3" x14ac:dyDescent="0.25">
      <c r="A71" t="s">
        <v>64</v>
      </c>
      <c r="B71" t="s">
        <v>10</v>
      </c>
      <c r="C71">
        <v>884503155</v>
      </c>
    </row>
    <row r="72" spans="1:3" x14ac:dyDescent="0.25">
      <c r="A72" t="s">
        <v>4</v>
      </c>
      <c r="B72" t="s">
        <v>11</v>
      </c>
      <c r="C72">
        <v>1431008126</v>
      </c>
    </row>
    <row r="73" spans="1:3" x14ac:dyDescent="0.25">
      <c r="A73" t="s">
        <v>66</v>
      </c>
      <c r="B73" t="s">
        <v>11</v>
      </c>
      <c r="C73">
        <v>197831610</v>
      </c>
    </row>
    <row r="74" spans="1:3" x14ac:dyDescent="0.25">
      <c r="A74" t="s">
        <v>65</v>
      </c>
      <c r="B74" t="s">
        <v>11</v>
      </c>
      <c r="C74">
        <v>289852121</v>
      </c>
    </row>
    <row r="75" spans="1:3" x14ac:dyDescent="0.25">
      <c r="A75" t="s">
        <v>62</v>
      </c>
      <c r="B75" t="s">
        <v>11</v>
      </c>
      <c r="C75">
        <v>1862349102</v>
      </c>
    </row>
    <row r="76" spans="1:3" x14ac:dyDescent="0.25">
      <c r="A76" t="s">
        <v>68</v>
      </c>
      <c r="B76" t="s">
        <v>11</v>
      </c>
      <c r="C76">
        <v>136431049</v>
      </c>
    </row>
    <row r="77" spans="1:3" x14ac:dyDescent="0.25">
      <c r="A77" t="s">
        <v>61</v>
      </c>
      <c r="B77" t="s">
        <v>11</v>
      </c>
      <c r="C77">
        <v>64459901</v>
      </c>
    </row>
    <row r="78" spans="1:3" x14ac:dyDescent="0.25">
      <c r="A78" t="s">
        <v>60</v>
      </c>
      <c r="B78" t="s">
        <v>11</v>
      </c>
      <c r="C78">
        <v>86073690</v>
      </c>
    </row>
    <row r="79" spans="1:3" x14ac:dyDescent="0.25">
      <c r="A79" t="s">
        <v>67</v>
      </c>
      <c r="B79" t="s">
        <v>11</v>
      </c>
      <c r="C79">
        <v>70046947</v>
      </c>
    </row>
    <row r="80" spans="1:3" x14ac:dyDescent="0.25">
      <c r="A80" t="s">
        <v>63</v>
      </c>
      <c r="B80" t="s">
        <v>11</v>
      </c>
      <c r="C80">
        <v>1131262699</v>
      </c>
    </row>
    <row r="81" spans="1:3" x14ac:dyDescent="0.25">
      <c r="A81" t="s">
        <v>64</v>
      </c>
      <c r="B81" t="s">
        <v>11</v>
      </c>
      <c r="C81">
        <v>900272436</v>
      </c>
    </row>
    <row r="82" spans="1:3" x14ac:dyDescent="0.25">
      <c r="A82" t="s">
        <v>4</v>
      </c>
      <c r="B82" t="s">
        <v>12</v>
      </c>
      <c r="C82">
        <v>1589853447</v>
      </c>
    </row>
    <row r="83" spans="1:3" x14ac:dyDescent="0.25">
      <c r="A83" t="s">
        <v>66</v>
      </c>
      <c r="B83" t="s">
        <v>12</v>
      </c>
      <c r="C83">
        <v>271969873</v>
      </c>
    </row>
    <row r="84" spans="1:3" x14ac:dyDescent="0.25">
      <c r="A84" t="s">
        <v>65</v>
      </c>
      <c r="B84" t="s">
        <v>12</v>
      </c>
      <c r="C84">
        <v>352790622</v>
      </c>
    </row>
    <row r="85" spans="1:3" x14ac:dyDescent="0.25">
      <c r="A85" t="s">
        <v>62</v>
      </c>
      <c r="B85" t="s">
        <v>12</v>
      </c>
      <c r="C85">
        <v>2093561204</v>
      </c>
    </row>
    <row r="86" spans="1:3" x14ac:dyDescent="0.25">
      <c r="A86" t="s">
        <v>68</v>
      </c>
      <c r="B86" t="s">
        <v>12</v>
      </c>
      <c r="C86">
        <v>157364350</v>
      </c>
    </row>
    <row r="87" spans="1:3" x14ac:dyDescent="0.25">
      <c r="A87" t="s">
        <v>61</v>
      </c>
      <c r="B87" t="s">
        <v>12</v>
      </c>
      <c r="C87">
        <v>86159971</v>
      </c>
    </row>
    <row r="88" spans="1:3" x14ac:dyDescent="0.25">
      <c r="A88" t="s">
        <v>60</v>
      </c>
      <c r="B88" t="s">
        <v>12</v>
      </c>
      <c r="C88">
        <v>105450695</v>
      </c>
    </row>
    <row r="89" spans="1:3" x14ac:dyDescent="0.25">
      <c r="A89" t="s">
        <v>67</v>
      </c>
      <c r="B89" t="s">
        <v>12</v>
      </c>
      <c r="C89">
        <v>70366749</v>
      </c>
    </row>
    <row r="90" spans="1:3" x14ac:dyDescent="0.25">
      <c r="A90" t="s">
        <v>63</v>
      </c>
      <c r="B90" t="s">
        <v>12</v>
      </c>
      <c r="C90">
        <v>1258902773</v>
      </c>
    </row>
    <row r="91" spans="1:3" x14ac:dyDescent="0.25">
      <c r="A91" t="s">
        <v>64</v>
      </c>
      <c r="B91" t="s">
        <v>12</v>
      </c>
      <c r="C91">
        <v>987209990</v>
      </c>
    </row>
    <row r="92" spans="1:3" x14ac:dyDescent="0.25">
      <c r="A92" t="s">
        <v>4</v>
      </c>
      <c r="B92" t="s">
        <v>13</v>
      </c>
      <c r="C92">
        <v>1895494511</v>
      </c>
    </row>
    <row r="93" spans="1:3" x14ac:dyDescent="0.25">
      <c r="A93" t="s">
        <v>66</v>
      </c>
      <c r="B93" t="s">
        <v>13</v>
      </c>
      <c r="C93">
        <v>321141368</v>
      </c>
    </row>
    <row r="94" spans="1:3" x14ac:dyDescent="0.25">
      <c r="A94" t="s">
        <v>65</v>
      </c>
      <c r="B94" t="s">
        <v>13</v>
      </c>
      <c r="C94">
        <v>439547116</v>
      </c>
    </row>
    <row r="95" spans="1:3" x14ac:dyDescent="0.25">
      <c r="A95" t="s">
        <v>62</v>
      </c>
      <c r="B95" t="s">
        <v>13</v>
      </c>
      <c r="C95">
        <v>2573873381</v>
      </c>
    </row>
    <row r="96" spans="1:3" x14ac:dyDescent="0.25">
      <c r="A96" t="s">
        <v>68</v>
      </c>
      <c r="B96" t="s">
        <v>13</v>
      </c>
      <c r="C96">
        <v>187347919</v>
      </c>
    </row>
    <row r="97" spans="1:3" x14ac:dyDescent="0.25">
      <c r="A97" t="s">
        <v>61</v>
      </c>
      <c r="B97" t="s">
        <v>13</v>
      </c>
      <c r="C97">
        <v>93449872</v>
      </c>
    </row>
    <row r="98" spans="1:3" x14ac:dyDescent="0.25">
      <c r="A98" t="s">
        <v>60</v>
      </c>
      <c r="B98" t="s">
        <v>13</v>
      </c>
      <c r="C98">
        <v>130926919</v>
      </c>
    </row>
    <row r="99" spans="1:3" x14ac:dyDescent="0.25">
      <c r="A99" t="s">
        <v>67</v>
      </c>
      <c r="B99" t="s">
        <v>13</v>
      </c>
      <c r="C99">
        <v>107322012</v>
      </c>
    </row>
    <row r="100" spans="1:3" x14ac:dyDescent="0.25">
      <c r="A100" t="s">
        <v>63</v>
      </c>
      <c r="B100" t="s">
        <v>13</v>
      </c>
      <c r="C100">
        <v>1559594877</v>
      </c>
    </row>
    <row r="101" spans="1:3" x14ac:dyDescent="0.25">
      <c r="A101" t="s">
        <v>64</v>
      </c>
      <c r="B101" t="s">
        <v>13</v>
      </c>
      <c r="C101">
        <v>1258326184</v>
      </c>
    </row>
    <row r="102" spans="1:3" x14ac:dyDescent="0.25">
      <c r="A102" t="s">
        <v>4</v>
      </c>
      <c r="B102" t="s">
        <v>14</v>
      </c>
      <c r="C102">
        <v>1946783065</v>
      </c>
    </row>
    <row r="103" spans="1:3" x14ac:dyDescent="0.25">
      <c r="A103" t="s">
        <v>66</v>
      </c>
      <c r="B103" t="s">
        <v>14</v>
      </c>
      <c r="C103">
        <v>311519634</v>
      </c>
    </row>
    <row r="104" spans="1:3" x14ac:dyDescent="0.25">
      <c r="A104" t="s">
        <v>65</v>
      </c>
      <c r="B104" t="s">
        <v>14</v>
      </c>
      <c r="C104">
        <v>453761732</v>
      </c>
    </row>
    <row r="105" spans="1:3" x14ac:dyDescent="0.25">
      <c r="A105" t="s">
        <v>62</v>
      </c>
      <c r="B105" t="s">
        <v>14</v>
      </c>
      <c r="C105">
        <v>2601127091</v>
      </c>
    </row>
    <row r="106" spans="1:3" x14ac:dyDescent="0.25">
      <c r="A106" t="s">
        <v>68</v>
      </c>
      <c r="B106" t="s">
        <v>14</v>
      </c>
      <c r="C106">
        <v>137756224</v>
      </c>
    </row>
    <row r="107" spans="1:3" x14ac:dyDescent="0.25">
      <c r="A107" t="s">
        <v>61</v>
      </c>
      <c r="B107" t="s">
        <v>14</v>
      </c>
      <c r="C107">
        <v>90049943</v>
      </c>
    </row>
    <row r="108" spans="1:3" x14ac:dyDescent="0.25">
      <c r="A108" t="s">
        <v>60</v>
      </c>
      <c r="B108" t="s">
        <v>14</v>
      </c>
      <c r="C108">
        <v>131788395</v>
      </c>
    </row>
    <row r="109" spans="1:3" x14ac:dyDescent="0.25">
      <c r="A109" t="s">
        <v>67</v>
      </c>
      <c r="B109" t="s">
        <v>14</v>
      </c>
      <c r="C109">
        <v>104984443</v>
      </c>
    </row>
    <row r="110" spans="1:3" x14ac:dyDescent="0.25">
      <c r="A110" t="s">
        <v>63</v>
      </c>
      <c r="B110" t="s">
        <v>14</v>
      </c>
      <c r="C110">
        <v>1590410007</v>
      </c>
    </row>
    <row r="111" spans="1:3" x14ac:dyDescent="0.25">
      <c r="A111" t="s">
        <v>64</v>
      </c>
      <c r="B111" t="s">
        <v>14</v>
      </c>
      <c r="C111">
        <v>1241328339</v>
      </c>
    </row>
    <row r="112" spans="1:3" x14ac:dyDescent="0.25">
      <c r="A112" t="s">
        <v>4</v>
      </c>
      <c r="B112" t="s">
        <v>15</v>
      </c>
      <c r="C112">
        <v>1720946322</v>
      </c>
    </row>
    <row r="113" spans="1:3" x14ac:dyDescent="0.25">
      <c r="A113" t="s">
        <v>66</v>
      </c>
      <c r="B113" t="s">
        <v>15</v>
      </c>
      <c r="C113">
        <v>294273675</v>
      </c>
    </row>
    <row r="114" spans="1:3" x14ac:dyDescent="0.25">
      <c r="A114" t="s">
        <v>65</v>
      </c>
      <c r="B114" t="s">
        <v>15</v>
      </c>
      <c r="C114">
        <v>417506614</v>
      </c>
    </row>
    <row r="115" spans="1:3" x14ac:dyDescent="0.25">
      <c r="A115" t="s">
        <v>62</v>
      </c>
      <c r="B115" t="s">
        <v>15</v>
      </c>
      <c r="C115">
        <v>2121631381</v>
      </c>
    </row>
    <row r="116" spans="1:3" x14ac:dyDescent="0.25">
      <c r="A116" t="s">
        <v>68</v>
      </c>
      <c r="B116" t="s">
        <v>15</v>
      </c>
      <c r="C116">
        <v>124192459</v>
      </c>
    </row>
    <row r="117" spans="1:3" x14ac:dyDescent="0.25">
      <c r="A117" t="s">
        <v>61</v>
      </c>
      <c r="B117" t="s">
        <v>15</v>
      </c>
      <c r="C117">
        <v>86715390</v>
      </c>
    </row>
    <row r="118" spans="1:3" x14ac:dyDescent="0.25">
      <c r="A118" t="s">
        <v>60</v>
      </c>
      <c r="B118" t="s">
        <v>15</v>
      </c>
      <c r="C118">
        <v>128504434</v>
      </c>
    </row>
    <row r="119" spans="1:3" x14ac:dyDescent="0.25">
      <c r="A119" t="s">
        <v>67</v>
      </c>
      <c r="B119" t="s">
        <v>15</v>
      </c>
      <c r="C119">
        <v>94949228</v>
      </c>
    </row>
    <row r="120" spans="1:3" x14ac:dyDescent="0.25">
      <c r="A120" t="s">
        <v>63</v>
      </c>
      <c r="B120" t="s">
        <v>15</v>
      </c>
      <c r="C120">
        <v>1378675451</v>
      </c>
    </row>
    <row r="121" spans="1:3" x14ac:dyDescent="0.25">
      <c r="A121" t="s">
        <v>64</v>
      </c>
      <c r="B121" t="s">
        <v>15</v>
      </c>
      <c r="C121">
        <v>1176306740</v>
      </c>
    </row>
    <row r="122" spans="1:3" x14ac:dyDescent="0.25">
      <c r="A122" t="s">
        <v>4</v>
      </c>
      <c r="B122" t="s">
        <v>16</v>
      </c>
      <c r="C122">
        <v>1865086721</v>
      </c>
    </row>
    <row r="123" spans="1:3" x14ac:dyDescent="0.25">
      <c r="A123" t="s">
        <v>66</v>
      </c>
      <c r="B123" t="s">
        <v>16</v>
      </c>
      <c r="C123">
        <v>311702473</v>
      </c>
    </row>
    <row r="124" spans="1:3" x14ac:dyDescent="0.25">
      <c r="A124" t="s">
        <v>65</v>
      </c>
      <c r="B124" t="s">
        <v>16</v>
      </c>
      <c r="C124">
        <v>432920962</v>
      </c>
    </row>
    <row r="125" spans="1:3" x14ac:dyDescent="0.25">
      <c r="A125" t="s">
        <v>62</v>
      </c>
      <c r="B125" t="s">
        <v>16</v>
      </c>
      <c r="C125">
        <v>2324388251</v>
      </c>
    </row>
    <row r="126" spans="1:3" x14ac:dyDescent="0.25">
      <c r="A126" t="s">
        <v>68</v>
      </c>
      <c r="B126" t="s">
        <v>16</v>
      </c>
      <c r="C126">
        <v>128257485</v>
      </c>
    </row>
    <row r="127" spans="1:3" x14ac:dyDescent="0.25">
      <c r="A127" t="s">
        <v>61</v>
      </c>
      <c r="B127" t="s">
        <v>16</v>
      </c>
      <c r="C127">
        <v>108314141</v>
      </c>
    </row>
    <row r="128" spans="1:3" x14ac:dyDescent="0.25">
      <c r="A128" t="s">
        <v>60</v>
      </c>
      <c r="B128" t="s">
        <v>16</v>
      </c>
      <c r="C128">
        <v>136185331</v>
      </c>
    </row>
    <row r="129" spans="1:3" x14ac:dyDescent="0.25">
      <c r="A129" t="s">
        <v>67</v>
      </c>
      <c r="B129" t="s">
        <v>16</v>
      </c>
      <c r="C129">
        <v>108724689</v>
      </c>
    </row>
    <row r="130" spans="1:3" x14ac:dyDescent="0.25">
      <c r="A130" t="s">
        <v>63</v>
      </c>
      <c r="B130" t="s">
        <v>16</v>
      </c>
      <c r="C130">
        <v>2514589850</v>
      </c>
    </row>
    <row r="131" spans="1:3" x14ac:dyDescent="0.25">
      <c r="A131" t="s">
        <v>64</v>
      </c>
      <c r="B131" t="s">
        <v>16</v>
      </c>
      <c r="C131">
        <v>1181483145</v>
      </c>
    </row>
    <row r="132" spans="1:3" x14ac:dyDescent="0.25">
      <c r="A132" t="s">
        <v>4</v>
      </c>
      <c r="B132" t="s">
        <v>17</v>
      </c>
      <c r="C132">
        <v>1903104137</v>
      </c>
    </row>
    <row r="133" spans="1:3" x14ac:dyDescent="0.25">
      <c r="A133" t="s">
        <v>66</v>
      </c>
      <c r="B133" t="s">
        <v>17</v>
      </c>
      <c r="C133">
        <v>323310388</v>
      </c>
    </row>
    <row r="134" spans="1:3" x14ac:dyDescent="0.25">
      <c r="A134" t="s">
        <v>65</v>
      </c>
      <c r="B134" t="s">
        <v>17</v>
      </c>
      <c r="C134">
        <v>450311437</v>
      </c>
    </row>
    <row r="135" spans="1:3" x14ac:dyDescent="0.25">
      <c r="A135" t="s">
        <v>62</v>
      </c>
      <c r="B135" t="s">
        <v>17</v>
      </c>
      <c r="C135">
        <v>2690286399</v>
      </c>
    </row>
    <row r="136" spans="1:3" x14ac:dyDescent="0.25">
      <c r="A136" t="s">
        <v>68</v>
      </c>
      <c r="B136" t="s">
        <v>17</v>
      </c>
      <c r="C136">
        <v>129728322</v>
      </c>
    </row>
    <row r="137" spans="1:3" x14ac:dyDescent="0.25">
      <c r="A137" t="s">
        <v>61</v>
      </c>
      <c r="B137" t="s">
        <v>17</v>
      </c>
      <c r="C137">
        <v>100082601</v>
      </c>
    </row>
    <row r="138" spans="1:3" x14ac:dyDescent="0.25">
      <c r="A138" t="s">
        <v>60</v>
      </c>
      <c r="B138" t="s">
        <v>17</v>
      </c>
      <c r="C138">
        <v>146002457</v>
      </c>
    </row>
    <row r="139" spans="1:3" x14ac:dyDescent="0.25">
      <c r="A139" t="s">
        <v>67</v>
      </c>
      <c r="B139" t="s">
        <v>17</v>
      </c>
      <c r="C139">
        <v>120233446</v>
      </c>
    </row>
    <row r="140" spans="1:3" x14ac:dyDescent="0.25">
      <c r="A140" t="s">
        <v>63</v>
      </c>
      <c r="B140" t="s">
        <v>17</v>
      </c>
      <c r="C140">
        <v>2659303353</v>
      </c>
    </row>
    <row r="141" spans="1:3" x14ac:dyDescent="0.25">
      <c r="A141" t="s">
        <v>64</v>
      </c>
      <c r="B141" t="s">
        <v>17</v>
      </c>
      <c r="C141">
        <v>1519353713</v>
      </c>
    </row>
    <row r="142" spans="1:3" x14ac:dyDescent="0.25">
      <c r="A142" t="s">
        <v>4</v>
      </c>
      <c r="B142" t="s">
        <v>18</v>
      </c>
      <c r="C142">
        <v>1882491065</v>
      </c>
    </row>
    <row r="143" spans="1:3" x14ac:dyDescent="0.25">
      <c r="A143" t="s">
        <v>66</v>
      </c>
      <c r="B143" t="s">
        <v>18</v>
      </c>
      <c r="C143">
        <v>329581189</v>
      </c>
    </row>
    <row r="144" spans="1:3" x14ac:dyDescent="0.25">
      <c r="A144" t="s">
        <v>65</v>
      </c>
      <c r="B144" t="s">
        <v>18</v>
      </c>
      <c r="C144">
        <v>480689710</v>
      </c>
    </row>
    <row r="145" spans="1:3" x14ac:dyDescent="0.25">
      <c r="A145" t="s">
        <v>62</v>
      </c>
      <c r="B145" t="s">
        <v>18</v>
      </c>
      <c r="C145">
        <v>2622380178</v>
      </c>
    </row>
    <row r="146" spans="1:3" x14ac:dyDescent="0.25">
      <c r="A146" t="s">
        <v>68</v>
      </c>
      <c r="B146" t="s">
        <v>18</v>
      </c>
      <c r="C146">
        <v>133223808</v>
      </c>
    </row>
    <row r="147" spans="1:3" x14ac:dyDescent="0.25">
      <c r="A147" t="s">
        <v>61</v>
      </c>
      <c r="B147" t="s">
        <v>18</v>
      </c>
      <c r="C147">
        <v>96113358</v>
      </c>
    </row>
    <row r="148" spans="1:3" x14ac:dyDescent="0.25">
      <c r="A148" t="s">
        <v>60</v>
      </c>
      <c r="B148" t="s">
        <v>18</v>
      </c>
      <c r="C148">
        <v>160785698</v>
      </c>
    </row>
    <row r="149" spans="1:3" x14ac:dyDescent="0.25">
      <c r="A149" t="s">
        <v>67</v>
      </c>
      <c r="B149" t="s">
        <v>18</v>
      </c>
      <c r="C149">
        <v>121987358</v>
      </c>
    </row>
    <row r="150" spans="1:3" x14ac:dyDescent="0.25">
      <c r="A150" t="s">
        <v>63</v>
      </c>
      <c r="B150" t="s">
        <v>18</v>
      </c>
      <c r="C150">
        <v>2640722924</v>
      </c>
    </row>
    <row r="151" spans="1:3" x14ac:dyDescent="0.25">
      <c r="A151" t="s">
        <v>64</v>
      </c>
      <c r="B151" t="s">
        <v>18</v>
      </c>
      <c r="C151">
        <v>1474806598</v>
      </c>
    </row>
    <row r="152" spans="1:3" x14ac:dyDescent="0.25">
      <c r="A152" t="s">
        <v>4</v>
      </c>
      <c r="B152" t="s">
        <v>19</v>
      </c>
      <c r="C152">
        <v>1857853853</v>
      </c>
    </row>
    <row r="153" spans="1:3" x14ac:dyDescent="0.25">
      <c r="A153" t="s">
        <v>66</v>
      </c>
      <c r="B153" t="s">
        <v>19</v>
      </c>
      <c r="C153">
        <v>323336303</v>
      </c>
    </row>
    <row r="154" spans="1:3" x14ac:dyDescent="0.25">
      <c r="A154" t="s">
        <v>65</v>
      </c>
      <c r="B154" t="s">
        <v>19</v>
      </c>
      <c r="C154">
        <v>442274374</v>
      </c>
    </row>
    <row r="155" spans="1:3" x14ac:dyDescent="0.25">
      <c r="A155" t="s">
        <v>62</v>
      </c>
      <c r="B155" t="s">
        <v>19</v>
      </c>
      <c r="C155">
        <v>2386443862</v>
      </c>
    </row>
    <row r="156" spans="1:3" x14ac:dyDescent="0.25">
      <c r="A156" t="s">
        <v>68</v>
      </c>
      <c r="B156" t="s">
        <v>19</v>
      </c>
      <c r="C156">
        <v>114522250</v>
      </c>
    </row>
    <row r="157" spans="1:3" x14ac:dyDescent="0.25">
      <c r="A157" t="s">
        <v>61</v>
      </c>
      <c r="B157" t="s">
        <v>19</v>
      </c>
      <c r="C157">
        <v>96854910</v>
      </c>
    </row>
    <row r="158" spans="1:3" x14ac:dyDescent="0.25">
      <c r="A158" t="s">
        <v>60</v>
      </c>
      <c r="B158" t="s">
        <v>19</v>
      </c>
      <c r="C158">
        <v>170550076</v>
      </c>
    </row>
    <row r="159" spans="1:3" x14ac:dyDescent="0.25">
      <c r="A159" t="s">
        <v>67</v>
      </c>
      <c r="B159" t="s">
        <v>19</v>
      </c>
      <c r="C159">
        <v>120788404</v>
      </c>
    </row>
    <row r="160" spans="1:3" x14ac:dyDescent="0.25">
      <c r="A160" t="s">
        <v>63</v>
      </c>
      <c r="B160" t="s">
        <v>19</v>
      </c>
      <c r="C160">
        <v>2401929622</v>
      </c>
    </row>
    <row r="161" spans="1:3" x14ac:dyDescent="0.25">
      <c r="A161" t="s">
        <v>64</v>
      </c>
      <c r="B161" t="s">
        <v>19</v>
      </c>
      <c r="C161">
        <v>1451850390</v>
      </c>
    </row>
    <row r="162" spans="1:3" x14ac:dyDescent="0.25">
      <c r="A162" t="s">
        <v>4</v>
      </c>
      <c r="B162" t="s">
        <v>20</v>
      </c>
      <c r="C162">
        <v>1879909242</v>
      </c>
    </row>
    <row r="163" spans="1:3" x14ac:dyDescent="0.25">
      <c r="A163" t="s">
        <v>66</v>
      </c>
      <c r="B163" t="s">
        <v>20</v>
      </c>
      <c r="C163">
        <v>329294599</v>
      </c>
    </row>
    <row r="164" spans="1:3" x14ac:dyDescent="0.25">
      <c r="A164" t="s">
        <v>65</v>
      </c>
      <c r="B164" t="s">
        <v>20</v>
      </c>
      <c r="C164">
        <v>467398387</v>
      </c>
    </row>
    <row r="165" spans="1:3" x14ac:dyDescent="0.25">
      <c r="A165" t="s">
        <v>62</v>
      </c>
      <c r="B165" t="s">
        <v>20</v>
      </c>
      <c r="C165">
        <v>2313115232</v>
      </c>
    </row>
    <row r="166" spans="1:3" x14ac:dyDescent="0.25">
      <c r="A166" t="s">
        <v>68</v>
      </c>
      <c r="B166" t="s">
        <v>20</v>
      </c>
      <c r="C166">
        <v>109561421</v>
      </c>
    </row>
    <row r="167" spans="1:3" x14ac:dyDescent="0.25">
      <c r="A167" t="s">
        <v>61</v>
      </c>
      <c r="B167" t="s">
        <v>20</v>
      </c>
      <c r="C167">
        <v>109905272</v>
      </c>
    </row>
    <row r="168" spans="1:3" x14ac:dyDescent="0.25">
      <c r="A168" t="s">
        <v>60</v>
      </c>
      <c r="B168" t="s">
        <v>20</v>
      </c>
      <c r="C168">
        <v>169833770</v>
      </c>
    </row>
    <row r="169" spans="1:3" x14ac:dyDescent="0.25">
      <c r="A169" t="s">
        <v>67</v>
      </c>
      <c r="B169" t="s">
        <v>20</v>
      </c>
      <c r="C169">
        <v>131665210</v>
      </c>
    </row>
    <row r="170" spans="1:3" x14ac:dyDescent="0.25">
      <c r="A170" t="s">
        <v>63</v>
      </c>
      <c r="B170" t="s">
        <v>20</v>
      </c>
      <c r="C170">
        <v>2381722866</v>
      </c>
    </row>
    <row r="171" spans="1:3" x14ac:dyDescent="0.25">
      <c r="A171" t="s">
        <v>64</v>
      </c>
      <c r="B171" t="s">
        <v>20</v>
      </c>
      <c r="C171">
        <v>1405425187</v>
      </c>
    </row>
    <row r="172" spans="1:3" x14ac:dyDescent="0.25">
      <c r="A172" t="s">
        <v>4</v>
      </c>
      <c r="B172" t="s">
        <v>21</v>
      </c>
      <c r="C172">
        <v>1825113708</v>
      </c>
    </row>
    <row r="173" spans="1:3" x14ac:dyDescent="0.25">
      <c r="A173" t="s">
        <v>66</v>
      </c>
      <c r="B173" t="s">
        <v>21</v>
      </c>
      <c r="C173">
        <v>319996680</v>
      </c>
    </row>
    <row r="174" spans="1:3" x14ac:dyDescent="0.25">
      <c r="A174" t="s">
        <v>65</v>
      </c>
      <c r="B174" t="s">
        <v>21</v>
      </c>
      <c r="C174">
        <v>464952967</v>
      </c>
    </row>
    <row r="175" spans="1:3" x14ac:dyDescent="0.25">
      <c r="A175" t="s">
        <v>62</v>
      </c>
      <c r="B175" t="s">
        <v>21</v>
      </c>
      <c r="C175">
        <v>2470906128</v>
      </c>
    </row>
    <row r="176" spans="1:3" x14ac:dyDescent="0.25">
      <c r="A176" t="s">
        <v>68</v>
      </c>
      <c r="B176" t="s">
        <v>21</v>
      </c>
      <c r="C176">
        <v>104395705</v>
      </c>
    </row>
    <row r="177" spans="1:3" x14ac:dyDescent="0.25">
      <c r="A177" t="s">
        <v>61</v>
      </c>
      <c r="B177" t="s">
        <v>21</v>
      </c>
      <c r="C177">
        <v>98465722</v>
      </c>
    </row>
    <row r="178" spans="1:3" x14ac:dyDescent="0.25">
      <c r="A178" t="s">
        <v>60</v>
      </c>
      <c r="B178" t="s">
        <v>21</v>
      </c>
      <c r="C178">
        <v>164522215</v>
      </c>
    </row>
    <row r="179" spans="1:3" x14ac:dyDescent="0.25">
      <c r="A179" t="s">
        <v>67</v>
      </c>
      <c r="B179" t="s">
        <v>21</v>
      </c>
      <c r="C179">
        <v>135252334</v>
      </c>
    </row>
    <row r="180" spans="1:3" x14ac:dyDescent="0.25">
      <c r="A180" t="s">
        <v>63</v>
      </c>
      <c r="B180" t="s">
        <v>21</v>
      </c>
      <c r="C180">
        <v>2379903938</v>
      </c>
    </row>
    <row r="181" spans="1:3" x14ac:dyDescent="0.25">
      <c r="A181" t="s">
        <v>64</v>
      </c>
      <c r="B181" t="s">
        <v>21</v>
      </c>
      <c r="C181">
        <v>1413160201</v>
      </c>
    </row>
    <row r="182" spans="1:3" x14ac:dyDescent="0.25">
      <c r="A182" t="s">
        <v>4</v>
      </c>
      <c r="B182" t="s">
        <v>22</v>
      </c>
      <c r="C182">
        <v>1894669053</v>
      </c>
    </row>
    <row r="183" spans="1:3" x14ac:dyDescent="0.25">
      <c r="A183" t="s">
        <v>66</v>
      </c>
      <c r="B183" t="s">
        <v>22</v>
      </c>
      <c r="C183">
        <v>343697145</v>
      </c>
    </row>
    <row r="184" spans="1:3" x14ac:dyDescent="0.25">
      <c r="A184" t="s">
        <v>65</v>
      </c>
      <c r="B184" t="s">
        <v>22</v>
      </c>
      <c r="C184">
        <v>500868249</v>
      </c>
    </row>
    <row r="185" spans="1:3" x14ac:dyDescent="0.25">
      <c r="A185" t="s">
        <v>62</v>
      </c>
      <c r="B185" t="s">
        <v>22</v>
      </c>
      <c r="C185">
        <v>2576900527</v>
      </c>
    </row>
    <row r="186" spans="1:3" x14ac:dyDescent="0.25">
      <c r="A186" t="s">
        <v>68</v>
      </c>
      <c r="B186" t="s">
        <v>22</v>
      </c>
      <c r="C186">
        <v>113436214</v>
      </c>
    </row>
    <row r="187" spans="1:3" x14ac:dyDescent="0.25">
      <c r="A187" t="s">
        <v>61</v>
      </c>
      <c r="B187" t="s">
        <v>22</v>
      </c>
      <c r="C187">
        <v>91287159</v>
      </c>
    </row>
    <row r="188" spans="1:3" x14ac:dyDescent="0.25">
      <c r="A188" t="s">
        <v>60</v>
      </c>
      <c r="B188" t="s">
        <v>22</v>
      </c>
      <c r="C188">
        <v>176837020</v>
      </c>
    </row>
    <row r="189" spans="1:3" x14ac:dyDescent="0.25">
      <c r="A189" t="s">
        <v>67</v>
      </c>
      <c r="B189" t="s">
        <v>22</v>
      </c>
      <c r="C189">
        <v>144985935</v>
      </c>
    </row>
    <row r="190" spans="1:3" x14ac:dyDescent="0.25">
      <c r="A190" t="s">
        <v>63</v>
      </c>
      <c r="B190" t="s">
        <v>22</v>
      </c>
      <c r="C190">
        <v>2542395357</v>
      </c>
    </row>
    <row r="191" spans="1:3" x14ac:dyDescent="0.25">
      <c r="A191" t="s">
        <v>64</v>
      </c>
      <c r="B191" t="s">
        <v>22</v>
      </c>
      <c r="C191">
        <v>1394509008</v>
      </c>
    </row>
    <row r="192" spans="1:3" x14ac:dyDescent="0.25">
      <c r="A192" t="s">
        <v>4</v>
      </c>
      <c r="B192" t="s">
        <v>23</v>
      </c>
      <c r="C192">
        <v>1814912783</v>
      </c>
    </row>
    <row r="193" spans="1:3" x14ac:dyDescent="0.25">
      <c r="A193" t="s">
        <v>66</v>
      </c>
      <c r="B193" t="s">
        <v>23</v>
      </c>
      <c r="C193">
        <v>318578701</v>
      </c>
    </row>
    <row r="194" spans="1:3" x14ac:dyDescent="0.25">
      <c r="A194" t="s">
        <v>65</v>
      </c>
      <c r="B194" t="s">
        <v>23</v>
      </c>
      <c r="C194">
        <v>465829878</v>
      </c>
    </row>
    <row r="195" spans="1:3" x14ac:dyDescent="0.25">
      <c r="A195" t="s">
        <v>62</v>
      </c>
      <c r="B195" t="s">
        <v>23</v>
      </c>
      <c r="C195">
        <v>2313937973</v>
      </c>
    </row>
    <row r="196" spans="1:3" x14ac:dyDescent="0.25">
      <c r="A196" t="s">
        <v>68</v>
      </c>
      <c r="B196" t="s">
        <v>23</v>
      </c>
      <c r="C196">
        <v>106341111</v>
      </c>
    </row>
    <row r="197" spans="1:3" x14ac:dyDescent="0.25">
      <c r="A197" t="s">
        <v>61</v>
      </c>
      <c r="B197" t="s">
        <v>23</v>
      </c>
      <c r="C197">
        <v>92304494</v>
      </c>
    </row>
    <row r="198" spans="1:3" x14ac:dyDescent="0.25">
      <c r="A198" t="s">
        <v>60</v>
      </c>
      <c r="B198" t="s">
        <v>23</v>
      </c>
      <c r="C198">
        <v>169789163</v>
      </c>
    </row>
    <row r="199" spans="1:3" x14ac:dyDescent="0.25">
      <c r="A199" t="s">
        <v>67</v>
      </c>
      <c r="B199" t="s">
        <v>23</v>
      </c>
      <c r="C199">
        <v>139843111</v>
      </c>
    </row>
    <row r="200" spans="1:3" x14ac:dyDescent="0.25">
      <c r="A200" t="s">
        <v>63</v>
      </c>
      <c r="B200" t="s">
        <v>23</v>
      </c>
      <c r="C200">
        <v>2315544496</v>
      </c>
    </row>
    <row r="201" spans="1:3" x14ac:dyDescent="0.25">
      <c r="A201" t="s">
        <v>64</v>
      </c>
      <c r="B201" t="s">
        <v>23</v>
      </c>
      <c r="C201">
        <v>1313891559</v>
      </c>
    </row>
    <row r="202" spans="1:3" x14ac:dyDescent="0.25">
      <c r="A202" t="s">
        <v>4</v>
      </c>
      <c r="B202" t="s">
        <v>24</v>
      </c>
      <c r="C202">
        <v>1820965998</v>
      </c>
    </row>
    <row r="203" spans="1:3" x14ac:dyDescent="0.25">
      <c r="A203" t="s">
        <v>66</v>
      </c>
      <c r="B203" t="s">
        <v>24</v>
      </c>
      <c r="C203">
        <v>318062669</v>
      </c>
    </row>
    <row r="204" spans="1:3" x14ac:dyDescent="0.25">
      <c r="A204" t="s">
        <v>65</v>
      </c>
      <c r="B204" t="s">
        <v>24</v>
      </c>
      <c r="C204">
        <v>463849694</v>
      </c>
    </row>
    <row r="205" spans="1:3" x14ac:dyDescent="0.25">
      <c r="A205" t="s">
        <v>62</v>
      </c>
      <c r="B205" t="s">
        <v>24</v>
      </c>
      <c r="C205">
        <v>2191198459</v>
      </c>
    </row>
    <row r="206" spans="1:3" x14ac:dyDescent="0.25">
      <c r="A206" t="s">
        <v>68</v>
      </c>
      <c r="B206" t="s">
        <v>24</v>
      </c>
      <c r="C206">
        <v>110701810</v>
      </c>
    </row>
    <row r="207" spans="1:3" x14ac:dyDescent="0.25">
      <c r="A207" t="s">
        <v>61</v>
      </c>
      <c r="B207" t="s">
        <v>24</v>
      </c>
      <c r="C207">
        <v>110117277</v>
      </c>
    </row>
    <row r="208" spans="1:3" x14ac:dyDescent="0.25">
      <c r="A208" t="s">
        <v>60</v>
      </c>
      <c r="B208" t="s">
        <v>24</v>
      </c>
      <c r="C208">
        <v>166333312</v>
      </c>
    </row>
    <row r="209" spans="1:3" x14ac:dyDescent="0.25">
      <c r="A209" t="s">
        <v>67</v>
      </c>
      <c r="B209" t="s">
        <v>24</v>
      </c>
      <c r="C209">
        <v>148471694</v>
      </c>
    </row>
    <row r="210" spans="1:3" x14ac:dyDescent="0.25">
      <c r="A210" t="s">
        <v>63</v>
      </c>
      <c r="B210" t="s">
        <v>24</v>
      </c>
      <c r="C210">
        <v>2253932922</v>
      </c>
    </row>
    <row r="211" spans="1:3" x14ac:dyDescent="0.25">
      <c r="A211" t="s">
        <v>64</v>
      </c>
      <c r="B211" t="s">
        <v>24</v>
      </c>
      <c r="C211">
        <v>1261236045</v>
      </c>
    </row>
    <row r="212" spans="1:3" x14ac:dyDescent="0.25">
      <c r="A212" t="s">
        <v>4</v>
      </c>
      <c r="B212" t="s">
        <v>25</v>
      </c>
      <c r="C212">
        <v>1848515831</v>
      </c>
    </row>
    <row r="213" spans="1:3" x14ac:dyDescent="0.25">
      <c r="A213" t="s">
        <v>66</v>
      </c>
      <c r="B213" t="s">
        <v>25</v>
      </c>
      <c r="C213">
        <v>337918454</v>
      </c>
    </row>
    <row r="214" spans="1:3" x14ac:dyDescent="0.25">
      <c r="A214" t="s">
        <v>65</v>
      </c>
      <c r="B214" t="s">
        <v>25</v>
      </c>
      <c r="C214">
        <v>497257315</v>
      </c>
    </row>
    <row r="215" spans="1:3" x14ac:dyDescent="0.25">
      <c r="A215" t="s">
        <v>62</v>
      </c>
      <c r="B215" t="s">
        <v>25</v>
      </c>
      <c r="C215">
        <v>2435701598</v>
      </c>
    </row>
    <row r="216" spans="1:3" x14ac:dyDescent="0.25">
      <c r="A216" t="s">
        <v>68</v>
      </c>
      <c r="B216" t="s">
        <v>25</v>
      </c>
      <c r="C216">
        <v>129776021</v>
      </c>
    </row>
    <row r="217" spans="1:3" x14ac:dyDescent="0.25">
      <c r="A217" t="s">
        <v>61</v>
      </c>
      <c r="B217" t="s">
        <v>25</v>
      </c>
      <c r="C217">
        <v>105710555</v>
      </c>
    </row>
    <row r="218" spans="1:3" x14ac:dyDescent="0.25">
      <c r="A218" t="s">
        <v>60</v>
      </c>
      <c r="B218" t="s">
        <v>25</v>
      </c>
      <c r="C218">
        <v>169002345</v>
      </c>
    </row>
    <row r="219" spans="1:3" x14ac:dyDescent="0.25">
      <c r="A219" t="s">
        <v>67</v>
      </c>
      <c r="B219" t="s">
        <v>25</v>
      </c>
      <c r="C219">
        <v>154852089</v>
      </c>
    </row>
    <row r="220" spans="1:3" x14ac:dyDescent="0.25">
      <c r="A220" t="s">
        <v>63</v>
      </c>
      <c r="B220" t="s">
        <v>25</v>
      </c>
      <c r="C220">
        <v>2441231402</v>
      </c>
    </row>
    <row r="221" spans="1:3" x14ac:dyDescent="0.25">
      <c r="A221" t="s">
        <v>64</v>
      </c>
      <c r="B221" t="s">
        <v>25</v>
      </c>
      <c r="C221">
        <v>1371665612</v>
      </c>
    </row>
    <row r="222" spans="1:3" x14ac:dyDescent="0.25">
      <c r="A222" t="s">
        <v>4</v>
      </c>
      <c r="B222" t="s">
        <v>26</v>
      </c>
      <c r="C222">
        <v>1840157541</v>
      </c>
    </row>
    <row r="223" spans="1:3" x14ac:dyDescent="0.25">
      <c r="A223" t="s">
        <v>66</v>
      </c>
      <c r="B223" t="s">
        <v>26</v>
      </c>
      <c r="C223">
        <v>350361411</v>
      </c>
    </row>
    <row r="224" spans="1:3" x14ac:dyDescent="0.25">
      <c r="A224" t="s">
        <v>65</v>
      </c>
      <c r="B224" t="s">
        <v>26</v>
      </c>
      <c r="C224">
        <v>518041128</v>
      </c>
    </row>
    <row r="225" spans="1:3" x14ac:dyDescent="0.25">
      <c r="A225" t="s">
        <v>62</v>
      </c>
      <c r="B225" t="s">
        <v>26</v>
      </c>
      <c r="C225">
        <v>2605487775</v>
      </c>
    </row>
    <row r="226" spans="1:3" x14ac:dyDescent="0.25">
      <c r="A226" t="s">
        <v>68</v>
      </c>
      <c r="B226" t="s">
        <v>26</v>
      </c>
      <c r="C226">
        <v>141632438</v>
      </c>
    </row>
    <row r="227" spans="1:3" x14ac:dyDescent="0.25">
      <c r="A227" t="s">
        <v>61</v>
      </c>
      <c r="B227" t="s">
        <v>26</v>
      </c>
      <c r="C227">
        <v>96601069</v>
      </c>
    </row>
    <row r="228" spans="1:3" x14ac:dyDescent="0.25">
      <c r="A228" t="s">
        <v>60</v>
      </c>
      <c r="B228" t="s">
        <v>26</v>
      </c>
      <c r="C228">
        <v>175907058</v>
      </c>
    </row>
    <row r="229" spans="1:3" x14ac:dyDescent="0.25">
      <c r="A229" t="s">
        <v>67</v>
      </c>
      <c r="B229" t="s">
        <v>26</v>
      </c>
      <c r="C229">
        <v>171577216</v>
      </c>
    </row>
    <row r="230" spans="1:3" x14ac:dyDescent="0.25">
      <c r="A230" t="s">
        <v>63</v>
      </c>
      <c r="B230" t="s">
        <v>26</v>
      </c>
      <c r="C230">
        <v>2450900891</v>
      </c>
    </row>
    <row r="231" spans="1:3" x14ac:dyDescent="0.25">
      <c r="A231" t="s">
        <v>64</v>
      </c>
      <c r="B231" t="s">
        <v>26</v>
      </c>
      <c r="C231">
        <v>1334880541</v>
      </c>
    </row>
    <row r="232" spans="1:3" x14ac:dyDescent="0.25">
      <c r="A232" t="s">
        <v>4</v>
      </c>
      <c r="B232" t="s">
        <v>27</v>
      </c>
      <c r="C232">
        <v>1482134906</v>
      </c>
    </row>
    <row r="233" spans="1:3" x14ac:dyDescent="0.25">
      <c r="A233" t="s">
        <v>66</v>
      </c>
      <c r="B233" t="s">
        <v>27</v>
      </c>
      <c r="C233">
        <v>276786712</v>
      </c>
    </row>
    <row r="234" spans="1:3" x14ac:dyDescent="0.25">
      <c r="A234" t="s">
        <v>65</v>
      </c>
      <c r="B234" t="s">
        <v>27</v>
      </c>
      <c r="C234">
        <v>435774779</v>
      </c>
    </row>
    <row r="235" spans="1:3" x14ac:dyDescent="0.25">
      <c r="A235" t="s">
        <v>62</v>
      </c>
      <c r="B235" t="s">
        <v>27</v>
      </c>
      <c r="C235">
        <v>2089326627</v>
      </c>
    </row>
    <row r="236" spans="1:3" x14ac:dyDescent="0.25">
      <c r="A236" t="s">
        <v>68</v>
      </c>
      <c r="B236" t="s">
        <v>27</v>
      </c>
      <c r="C236">
        <v>114904788</v>
      </c>
    </row>
    <row r="237" spans="1:3" x14ac:dyDescent="0.25">
      <c r="A237" t="s">
        <v>61</v>
      </c>
      <c r="B237" t="s">
        <v>27</v>
      </c>
      <c r="C237">
        <v>81789156</v>
      </c>
    </row>
    <row r="238" spans="1:3" x14ac:dyDescent="0.25">
      <c r="A238" t="s">
        <v>60</v>
      </c>
      <c r="B238" t="s">
        <v>27</v>
      </c>
      <c r="C238">
        <v>145623718</v>
      </c>
    </row>
    <row r="239" spans="1:3" x14ac:dyDescent="0.25">
      <c r="A239" t="s">
        <v>67</v>
      </c>
      <c r="B239" t="s">
        <v>27</v>
      </c>
      <c r="C239">
        <v>137897785</v>
      </c>
    </row>
    <row r="240" spans="1:3" x14ac:dyDescent="0.25">
      <c r="A240" t="s">
        <v>63</v>
      </c>
      <c r="B240" t="s">
        <v>27</v>
      </c>
      <c r="C240">
        <v>1896055809</v>
      </c>
    </row>
    <row r="241" spans="1:3" x14ac:dyDescent="0.25">
      <c r="A241" t="s">
        <v>64</v>
      </c>
      <c r="B241" t="s">
        <v>27</v>
      </c>
      <c r="C241">
        <v>1114163719</v>
      </c>
    </row>
    <row r="242" spans="1:3" x14ac:dyDescent="0.25">
      <c r="A242" t="s">
        <v>4</v>
      </c>
      <c r="B242" t="s">
        <v>28</v>
      </c>
      <c r="C242">
        <v>1031026090</v>
      </c>
    </row>
    <row r="243" spans="1:3" x14ac:dyDescent="0.25">
      <c r="A243" t="s">
        <v>66</v>
      </c>
      <c r="B243" t="s">
        <v>28</v>
      </c>
      <c r="C243">
        <v>204360350</v>
      </c>
    </row>
    <row r="244" spans="1:3" x14ac:dyDescent="0.25">
      <c r="A244" t="s">
        <v>65</v>
      </c>
      <c r="B244" t="s">
        <v>28</v>
      </c>
      <c r="C244">
        <v>334819240</v>
      </c>
    </row>
    <row r="245" spans="1:3" x14ac:dyDescent="0.25">
      <c r="A245" t="s">
        <v>62</v>
      </c>
      <c r="B245" t="s">
        <v>28</v>
      </c>
      <c r="C245">
        <v>2423967351</v>
      </c>
    </row>
    <row r="246" spans="1:3" x14ac:dyDescent="0.25">
      <c r="A246" t="s">
        <v>68</v>
      </c>
      <c r="B246" t="s">
        <v>28</v>
      </c>
      <c r="C246">
        <v>83790345</v>
      </c>
    </row>
    <row r="247" spans="1:3" x14ac:dyDescent="0.25">
      <c r="A247" t="s">
        <v>61</v>
      </c>
      <c r="B247" t="s">
        <v>28</v>
      </c>
      <c r="C247">
        <v>70765862</v>
      </c>
    </row>
    <row r="248" spans="1:3" x14ac:dyDescent="0.25">
      <c r="A248" t="s">
        <v>60</v>
      </c>
      <c r="B248" t="s">
        <v>28</v>
      </c>
      <c r="C248">
        <v>106963294</v>
      </c>
    </row>
    <row r="249" spans="1:3" x14ac:dyDescent="0.25">
      <c r="A249" t="s">
        <v>67</v>
      </c>
      <c r="B249" t="s">
        <v>28</v>
      </c>
      <c r="C249">
        <v>112425273</v>
      </c>
    </row>
    <row r="250" spans="1:3" x14ac:dyDescent="0.25">
      <c r="A250" t="s">
        <v>63</v>
      </c>
      <c r="B250" t="s">
        <v>28</v>
      </c>
      <c r="C250">
        <v>1324808019</v>
      </c>
    </row>
    <row r="251" spans="1:3" x14ac:dyDescent="0.25">
      <c r="A251" t="s">
        <v>64</v>
      </c>
      <c r="B251" t="s">
        <v>28</v>
      </c>
      <c r="C251">
        <v>833829602</v>
      </c>
    </row>
    <row r="252" spans="1:3" x14ac:dyDescent="0.25">
      <c r="A252" t="s">
        <v>4</v>
      </c>
      <c r="B252" t="s">
        <v>29</v>
      </c>
      <c r="C252">
        <v>1149257064</v>
      </c>
    </row>
    <row r="253" spans="1:3" x14ac:dyDescent="0.25">
      <c r="A253" t="s">
        <v>66</v>
      </c>
      <c r="B253" t="s">
        <v>29</v>
      </c>
      <c r="C253">
        <v>234469227</v>
      </c>
    </row>
    <row r="254" spans="1:3" x14ac:dyDescent="0.25">
      <c r="A254" t="s">
        <v>65</v>
      </c>
      <c r="B254" t="s">
        <v>29</v>
      </c>
      <c r="C254">
        <v>371345071</v>
      </c>
    </row>
    <row r="255" spans="1:3" x14ac:dyDescent="0.25">
      <c r="A255" t="s">
        <v>62</v>
      </c>
      <c r="B255" t="s">
        <v>29</v>
      </c>
      <c r="C255">
        <v>2177479292</v>
      </c>
    </row>
    <row r="256" spans="1:3" x14ac:dyDescent="0.25">
      <c r="A256" t="s">
        <v>68</v>
      </c>
      <c r="B256" t="s">
        <v>29</v>
      </c>
      <c r="C256">
        <v>95508606</v>
      </c>
    </row>
    <row r="257" spans="1:3" x14ac:dyDescent="0.25">
      <c r="A257" t="s">
        <v>61</v>
      </c>
      <c r="B257" t="s">
        <v>29</v>
      </c>
      <c r="C257">
        <v>80067623</v>
      </c>
    </row>
    <row r="258" spans="1:3" x14ac:dyDescent="0.25">
      <c r="A258" t="s">
        <v>60</v>
      </c>
      <c r="B258" t="s">
        <v>29</v>
      </c>
      <c r="C258">
        <v>107869286</v>
      </c>
    </row>
    <row r="259" spans="1:3" x14ac:dyDescent="0.25">
      <c r="A259" t="s">
        <v>67</v>
      </c>
      <c r="B259" t="s">
        <v>29</v>
      </c>
      <c r="C259">
        <v>127514440</v>
      </c>
    </row>
    <row r="260" spans="1:3" x14ac:dyDescent="0.25">
      <c r="A260" t="s">
        <v>63</v>
      </c>
      <c r="B260" t="s">
        <v>29</v>
      </c>
      <c r="C260">
        <v>1555463558</v>
      </c>
    </row>
    <row r="261" spans="1:3" x14ac:dyDescent="0.25">
      <c r="A261" t="s">
        <v>64</v>
      </c>
      <c r="B261" t="s">
        <v>29</v>
      </c>
      <c r="C261">
        <v>957470160</v>
      </c>
    </row>
    <row r="262" spans="1:3" x14ac:dyDescent="0.25">
      <c r="A262" t="s">
        <v>4</v>
      </c>
      <c r="B262" t="s">
        <v>30</v>
      </c>
      <c r="C262">
        <v>1532765621</v>
      </c>
    </row>
    <row r="263" spans="1:3" x14ac:dyDescent="0.25">
      <c r="A263" t="s">
        <v>66</v>
      </c>
      <c r="B263" t="s">
        <v>30</v>
      </c>
      <c r="C263">
        <v>206330579</v>
      </c>
    </row>
    <row r="264" spans="1:3" x14ac:dyDescent="0.25">
      <c r="A264" t="s">
        <v>65</v>
      </c>
      <c r="B264" t="s">
        <v>30</v>
      </c>
      <c r="C264">
        <v>342234477</v>
      </c>
    </row>
    <row r="265" spans="1:3" x14ac:dyDescent="0.25">
      <c r="A265" t="s">
        <v>62</v>
      </c>
      <c r="B265" t="s">
        <v>30</v>
      </c>
      <c r="C265">
        <v>1719523213</v>
      </c>
    </row>
    <row r="266" spans="1:3" x14ac:dyDescent="0.25">
      <c r="A266" t="s">
        <v>68</v>
      </c>
      <c r="B266" t="s">
        <v>30</v>
      </c>
      <c r="C266">
        <v>84158764</v>
      </c>
    </row>
    <row r="267" spans="1:3" x14ac:dyDescent="0.25">
      <c r="A267" t="s">
        <v>61</v>
      </c>
      <c r="B267" t="s">
        <v>30</v>
      </c>
      <c r="C267">
        <v>68969594</v>
      </c>
    </row>
    <row r="268" spans="1:3" x14ac:dyDescent="0.25">
      <c r="A268" t="s">
        <v>60</v>
      </c>
      <c r="B268" t="s">
        <v>30</v>
      </c>
      <c r="C268">
        <v>101527462</v>
      </c>
    </row>
    <row r="269" spans="1:3" x14ac:dyDescent="0.25">
      <c r="A269" t="s">
        <v>67</v>
      </c>
      <c r="B269" t="s">
        <v>30</v>
      </c>
      <c r="C269">
        <v>115893112</v>
      </c>
    </row>
    <row r="270" spans="1:3" x14ac:dyDescent="0.25">
      <c r="A270" t="s">
        <v>63</v>
      </c>
      <c r="B270" t="s">
        <v>30</v>
      </c>
      <c r="C270">
        <v>1402038489</v>
      </c>
    </row>
    <row r="271" spans="1:3" x14ac:dyDescent="0.25">
      <c r="A271" t="s">
        <v>64</v>
      </c>
      <c r="B271" t="s">
        <v>30</v>
      </c>
      <c r="C271">
        <v>889476837</v>
      </c>
    </row>
    <row r="272" spans="1:3" x14ac:dyDescent="0.25">
      <c r="A272" t="s">
        <v>4</v>
      </c>
      <c r="B272" t="s">
        <v>31</v>
      </c>
      <c r="C272">
        <v>1242051211</v>
      </c>
    </row>
    <row r="273" spans="1:3" x14ac:dyDescent="0.25">
      <c r="A273" t="s">
        <v>66</v>
      </c>
      <c r="B273" t="s">
        <v>31</v>
      </c>
      <c r="C273">
        <v>185059411</v>
      </c>
    </row>
    <row r="274" spans="1:3" x14ac:dyDescent="0.25">
      <c r="A274" t="s">
        <v>65</v>
      </c>
      <c r="B274" t="s">
        <v>31</v>
      </c>
      <c r="C274">
        <v>299377467</v>
      </c>
    </row>
    <row r="275" spans="1:3" x14ac:dyDescent="0.25">
      <c r="A275" t="s">
        <v>62</v>
      </c>
      <c r="B275" t="s">
        <v>31</v>
      </c>
      <c r="C275">
        <v>1524080755</v>
      </c>
    </row>
    <row r="276" spans="1:3" x14ac:dyDescent="0.25">
      <c r="A276" t="s">
        <v>68</v>
      </c>
      <c r="B276" t="s">
        <v>31</v>
      </c>
      <c r="C276">
        <v>70306431</v>
      </c>
    </row>
    <row r="277" spans="1:3" x14ac:dyDescent="0.25">
      <c r="A277" t="s">
        <v>61</v>
      </c>
      <c r="B277" t="s">
        <v>31</v>
      </c>
      <c r="C277">
        <v>61679854</v>
      </c>
    </row>
    <row r="278" spans="1:3" x14ac:dyDescent="0.25">
      <c r="A278" t="s">
        <v>60</v>
      </c>
      <c r="B278" t="s">
        <v>31</v>
      </c>
      <c r="C278">
        <v>84447485</v>
      </c>
    </row>
    <row r="279" spans="1:3" x14ac:dyDescent="0.25">
      <c r="A279" t="s">
        <v>67</v>
      </c>
      <c r="B279" t="s">
        <v>31</v>
      </c>
      <c r="C279">
        <v>105215216</v>
      </c>
    </row>
    <row r="280" spans="1:3" x14ac:dyDescent="0.25">
      <c r="A280" t="s">
        <v>63</v>
      </c>
      <c r="B280" t="s">
        <v>31</v>
      </c>
      <c r="C280">
        <v>1108565113</v>
      </c>
    </row>
    <row r="281" spans="1:3" x14ac:dyDescent="0.25">
      <c r="A281" t="s">
        <v>64</v>
      </c>
      <c r="B281" t="s">
        <v>31</v>
      </c>
      <c r="C281">
        <v>753795995</v>
      </c>
    </row>
    <row r="282" spans="1:3" x14ac:dyDescent="0.25">
      <c r="A282" t="s">
        <v>4</v>
      </c>
      <c r="B282" t="s">
        <v>32</v>
      </c>
      <c r="C282">
        <v>939341523</v>
      </c>
    </row>
    <row r="283" spans="1:3" x14ac:dyDescent="0.25">
      <c r="A283" t="s">
        <v>66</v>
      </c>
      <c r="B283" t="s">
        <v>32</v>
      </c>
      <c r="C283">
        <v>139669839</v>
      </c>
    </row>
    <row r="284" spans="1:3" x14ac:dyDescent="0.25">
      <c r="A284" t="s">
        <v>65</v>
      </c>
      <c r="B284" t="s">
        <v>32</v>
      </c>
      <c r="C284">
        <v>214814269</v>
      </c>
    </row>
    <row r="285" spans="1:3" x14ac:dyDescent="0.25">
      <c r="A285" t="s">
        <v>62</v>
      </c>
      <c r="B285" t="s">
        <v>32</v>
      </c>
      <c r="C285">
        <v>1071999368</v>
      </c>
    </row>
    <row r="286" spans="1:3" x14ac:dyDescent="0.25">
      <c r="A286" t="s">
        <v>68</v>
      </c>
      <c r="B286" t="s">
        <v>32</v>
      </c>
      <c r="C286">
        <v>49038043</v>
      </c>
    </row>
    <row r="287" spans="1:3" x14ac:dyDescent="0.25">
      <c r="A287" t="s">
        <v>61</v>
      </c>
      <c r="B287" t="s">
        <v>32</v>
      </c>
      <c r="C287">
        <v>53774689</v>
      </c>
    </row>
    <row r="288" spans="1:3" x14ac:dyDescent="0.25">
      <c r="A288" t="s">
        <v>60</v>
      </c>
      <c r="B288" t="s">
        <v>32</v>
      </c>
      <c r="C288">
        <v>66299120</v>
      </c>
    </row>
    <row r="289" spans="1:3" x14ac:dyDescent="0.25">
      <c r="A289" t="s">
        <v>67</v>
      </c>
      <c r="B289" t="s">
        <v>32</v>
      </c>
      <c r="C289">
        <v>85980529</v>
      </c>
    </row>
    <row r="290" spans="1:3" x14ac:dyDescent="0.25">
      <c r="A290" t="s">
        <v>63</v>
      </c>
      <c r="B290" t="s">
        <v>32</v>
      </c>
      <c r="C290">
        <v>817910673</v>
      </c>
    </row>
    <row r="291" spans="1:3" x14ac:dyDescent="0.25">
      <c r="A291" t="s">
        <v>64</v>
      </c>
      <c r="B291" t="s">
        <v>32</v>
      </c>
      <c r="C291">
        <v>814708672</v>
      </c>
    </row>
    <row r="292" spans="1:3" x14ac:dyDescent="0.25">
      <c r="A292" t="s">
        <v>4</v>
      </c>
      <c r="B292" t="s">
        <v>33</v>
      </c>
      <c r="C292">
        <v>1219061714</v>
      </c>
    </row>
    <row r="293" spans="1:3" x14ac:dyDescent="0.25">
      <c r="A293" t="s">
        <v>66</v>
      </c>
      <c r="B293" t="s">
        <v>33</v>
      </c>
      <c r="C293">
        <v>175168136</v>
      </c>
    </row>
    <row r="294" spans="1:3" x14ac:dyDescent="0.25">
      <c r="A294" t="s">
        <v>65</v>
      </c>
      <c r="B294" t="s">
        <v>33</v>
      </c>
      <c r="C294">
        <v>274132304</v>
      </c>
    </row>
    <row r="295" spans="1:3" x14ac:dyDescent="0.25">
      <c r="A295" t="s">
        <v>62</v>
      </c>
      <c r="B295" t="s">
        <v>33</v>
      </c>
      <c r="C295">
        <v>1845114616</v>
      </c>
    </row>
    <row r="296" spans="1:3" x14ac:dyDescent="0.25">
      <c r="A296" t="s">
        <v>68</v>
      </c>
      <c r="B296" t="s">
        <v>33</v>
      </c>
      <c r="C296">
        <v>66737695</v>
      </c>
    </row>
    <row r="297" spans="1:3" x14ac:dyDescent="0.25">
      <c r="A297" t="s">
        <v>61</v>
      </c>
      <c r="B297" t="s">
        <v>33</v>
      </c>
      <c r="C297">
        <v>68443100</v>
      </c>
    </row>
    <row r="298" spans="1:3" x14ac:dyDescent="0.25">
      <c r="A298" t="s">
        <v>60</v>
      </c>
      <c r="B298" t="s">
        <v>33</v>
      </c>
      <c r="C298">
        <v>80547123</v>
      </c>
    </row>
    <row r="299" spans="1:3" x14ac:dyDescent="0.25">
      <c r="A299" t="s">
        <v>67</v>
      </c>
      <c r="B299" t="s">
        <v>33</v>
      </c>
      <c r="C299">
        <v>113191663</v>
      </c>
    </row>
    <row r="300" spans="1:3" x14ac:dyDescent="0.25">
      <c r="A300" t="s">
        <v>63</v>
      </c>
      <c r="B300" t="s">
        <v>33</v>
      </c>
      <c r="C300">
        <v>1102857659</v>
      </c>
    </row>
    <row r="301" spans="1:3" x14ac:dyDescent="0.25">
      <c r="A301" t="s">
        <v>64</v>
      </c>
      <c r="B301" t="s">
        <v>33</v>
      </c>
      <c r="C301">
        <v>858911846</v>
      </c>
    </row>
    <row r="302" spans="1:3" x14ac:dyDescent="0.25">
      <c r="A302" t="s">
        <v>4</v>
      </c>
      <c r="B302" t="s">
        <v>34</v>
      </c>
      <c r="C302">
        <v>1314340830</v>
      </c>
    </row>
    <row r="303" spans="1:3" x14ac:dyDescent="0.25">
      <c r="A303" t="s">
        <v>66</v>
      </c>
      <c r="B303" t="s">
        <v>34</v>
      </c>
      <c r="C303">
        <v>183956998</v>
      </c>
    </row>
    <row r="304" spans="1:3" x14ac:dyDescent="0.25">
      <c r="A304" t="s">
        <v>65</v>
      </c>
      <c r="B304" t="s">
        <v>34</v>
      </c>
      <c r="C304">
        <v>293095566</v>
      </c>
    </row>
    <row r="305" spans="1:3" x14ac:dyDescent="0.25">
      <c r="A305" t="s">
        <v>62</v>
      </c>
      <c r="B305" t="s">
        <v>34</v>
      </c>
      <c r="C305">
        <v>1399169071</v>
      </c>
    </row>
    <row r="306" spans="1:3" x14ac:dyDescent="0.25">
      <c r="A306" t="s">
        <v>68</v>
      </c>
      <c r="B306" t="s">
        <v>34</v>
      </c>
      <c r="C306">
        <v>80300664</v>
      </c>
    </row>
    <row r="307" spans="1:3" x14ac:dyDescent="0.25">
      <c r="A307" t="s">
        <v>61</v>
      </c>
      <c r="B307" t="s">
        <v>34</v>
      </c>
      <c r="C307">
        <v>70416853</v>
      </c>
    </row>
    <row r="308" spans="1:3" x14ac:dyDescent="0.25">
      <c r="A308" t="s">
        <v>60</v>
      </c>
      <c r="B308" t="s">
        <v>34</v>
      </c>
      <c r="C308">
        <v>90381635</v>
      </c>
    </row>
    <row r="309" spans="1:3" x14ac:dyDescent="0.25">
      <c r="A309" t="s">
        <v>67</v>
      </c>
      <c r="B309" t="s">
        <v>34</v>
      </c>
      <c r="C309">
        <v>121843860</v>
      </c>
    </row>
    <row r="310" spans="1:3" x14ac:dyDescent="0.25">
      <c r="A310" t="s">
        <v>63</v>
      </c>
      <c r="B310" t="s">
        <v>34</v>
      </c>
      <c r="C310">
        <v>1242323709</v>
      </c>
    </row>
    <row r="311" spans="1:3" x14ac:dyDescent="0.25">
      <c r="A311" t="s">
        <v>64</v>
      </c>
      <c r="B311" t="s">
        <v>34</v>
      </c>
      <c r="C311">
        <v>898343029</v>
      </c>
    </row>
    <row r="312" spans="1:3" x14ac:dyDescent="0.25">
      <c r="A312" t="s">
        <v>4</v>
      </c>
      <c r="B312" t="s">
        <v>35</v>
      </c>
      <c r="C312">
        <v>1259803638</v>
      </c>
    </row>
    <row r="313" spans="1:3" x14ac:dyDescent="0.25">
      <c r="A313" t="s">
        <v>66</v>
      </c>
      <c r="B313" t="s">
        <v>35</v>
      </c>
      <c r="C313">
        <v>189459153</v>
      </c>
    </row>
    <row r="314" spans="1:3" x14ac:dyDescent="0.25">
      <c r="A314" t="s">
        <v>65</v>
      </c>
      <c r="B314" t="s">
        <v>35</v>
      </c>
      <c r="C314">
        <v>291342360</v>
      </c>
    </row>
    <row r="315" spans="1:3" x14ac:dyDescent="0.25">
      <c r="A315" t="s">
        <v>62</v>
      </c>
      <c r="B315" t="s">
        <v>35</v>
      </c>
      <c r="C315">
        <v>1297974142</v>
      </c>
    </row>
    <row r="316" spans="1:3" x14ac:dyDescent="0.25">
      <c r="A316" t="s">
        <v>68</v>
      </c>
      <c r="B316" t="s">
        <v>35</v>
      </c>
      <c r="C316">
        <v>82003745</v>
      </c>
    </row>
    <row r="317" spans="1:3" x14ac:dyDescent="0.25">
      <c r="A317" t="s">
        <v>61</v>
      </c>
      <c r="B317" t="s">
        <v>35</v>
      </c>
      <c r="C317">
        <v>73408075</v>
      </c>
    </row>
    <row r="318" spans="1:3" x14ac:dyDescent="0.25">
      <c r="A318" t="s">
        <v>60</v>
      </c>
      <c r="B318" t="s">
        <v>35</v>
      </c>
      <c r="C318">
        <v>91760327</v>
      </c>
    </row>
    <row r="319" spans="1:3" x14ac:dyDescent="0.25">
      <c r="A319" t="s">
        <v>67</v>
      </c>
      <c r="B319" t="s">
        <v>35</v>
      </c>
      <c r="C319">
        <v>126534683</v>
      </c>
    </row>
    <row r="320" spans="1:3" x14ac:dyDescent="0.25">
      <c r="A320" t="s">
        <v>63</v>
      </c>
      <c r="B320" t="s">
        <v>35</v>
      </c>
      <c r="C320">
        <v>1194549320</v>
      </c>
    </row>
    <row r="321" spans="1:3" x14ac:dyDescent="0.25">
      <c r="A321" t="s">
        <v>64</v>
      </c>
      <c r="B321" t="s">
        <v>35</v>
      </c>
      <c r="C321">
        <v>911132366</v>
      </c>
    </row>
    <row r="322" spans="1:3" x14ac:dyDescent="0.25">
      <c r="A322" t="s">
        <v>4</v>
      </c>
      <c r="B322" t="s">
        <v>36</v>
      </c>
      <c r="C322">
        <v>1316998181</v>
      </c>
    </row>
    <row r="323" spans="1:3" x14ac:dyDescent="0.25">
      <c r="A323" t="s">
        <v>66</v>
      </c>
      <c r="B323" t="s">
        <v>36</v>
      </c>
      <c r="C323">
        <v>208797145</v>
      </c>
    </row>
    <row r="324" spans="1:3" x14ac:dyDescent="0.25">
      <c r="A324" t="s">
        <v>65</v>
      </c>
      <c r="B324" t="s">
        <v>36</v>
      </c>
      <c r="C324">
        <v>322619471</v>
      </c>
    </row>
    <row r="325" spans="1:3" x14ac:dyDescent="0.25">
      <c r="A325" t="s">
        <v>62</v>
      </c>
      <c r="B325" t="s">
        <v>36</v>
      </c>
      <c r="C325">
        <v>1323697231</v>
      </c>
    </row>
    <row r="326" spans="1:3" x14ac:dyDescent="0.25">
      <c r="A326" t="s">
        <v>68</v>
      </c>
      <c r="B326" t="s">
        <v>36</v>
      </c>
      <c r="C326">
        <v>84351749</v>
      </c>
    </row>
    <row r="327" spans="1:3" x14ac:dyDescent="0.25">
      <c r="A327" t="s">
        <v>61</v>
      </c>
      <c r="B327" t="s">
        <v>36</v>
      </c>
      <c r="C327">
        <v>84449019</v>
      </c>
    </row>
    <row r="328" spans="1:3" x14ac:dyDescent="0.25">
      <c r="A328" t="s">
        <v>60</v>
      </c>
      <c r="B328" t="s">
        <v>36</v>
      </c>
      <c r="C328">
        <v>99441345</v>
      </c>
    </row>
    <row r="329" spans="1:3" x14ac:dyDescent="0.25">
      <c r="A329" t="s">
        <v>67</v>
      </c>
      <c r="B329" t="s">
        <v>36</v>
      </c>
      <c r="C329">
        <v>139781837</v>
      </c>
    </row>
    <row r="330" spans="1:3" x14ac:dyDescent="0.25">
      <c r="A330" t="s">
        <v>63</v>
      </c>
      <c r="B330" t="s">
        <v>36</v>
      </c>
      <c r="C330">
        <v>1230499297</v>
      </c>
    </row>
    <row r="331" spans="1:3" x14ac:dyDescent="0.25">
      <c r="A331" t="s">
        <v>64</v>
      </c>
      <c r="B331" t="s">
        <v>36</v>
      </c>
      <c r="C331">
        <v>880209961</v>
      </c>
    </row>
    <row r="332" spans="1:3" x14ac:dyDescent="0.25">
      <c r="A332" t="s">
        <v>4</v>
      </c>
      <c r="B332" t="s">
        <v>37</v>
      </c>
      <c r="C332">
        <v>1414059555</v>
      </c>
    </row>
    <row r="333" spans="1:3" x14ac:dyDescent="0.25">
      <c r="A333" t="s">
        <v>66</v>
      </c>
      <c r="B333" t="s">
        <v>37</v>
      </c>
      <c r="C333">
        <v>215660250</v>
      </c>
    </row>
    <row r="334" spans="1:3" x14ac:dyDescent="0.25">
      <c r="A334" t="s">
        <v>65</v>
      </c>
      <c r="B334" t="s">
        <v>37</v>
      </c>
      <c r="C334">
        <v>325045521</v>
      </c>
    </row>
    <row r="335" spans="1:3" x14ac:dyDescent="0.25">
      <c r="A335" t="s">
        <v>62</v>
      </c>
      <c r="B335" t="s">
        <v>37</v>
      </c>
      <c r="C335">
        <v>1500167625</v>
      </c>
    </row>
    <row r="336" spans="1:3" x14ac:dyDescent="0.25">
      <c r="A336" t="s">
        <v>68</v>
      </c>
      <c r="B336" t="s">
        <v>37</v>
      </c>
      <c r="C336">
        <v>86457381</v>
      </c>
    </row>
    <row r="337" spans="1:3" x14ac:dyDescent="0.25">
      <c r="A337" t="s">
        <v>61</v>
      </c>
      <c r="B337" t="s">
        <v>37</v>
      </c>
      <c r="C337">
        <v>84993718</v>
      </c>
    </row>
    <row r="338" spans="1:3" x14ac:dyDescent="0.25">
      <c r="A338" t="s">
        <v>60</v>
      </c>
      <c r="B338" t="s">
        <v>37</v>
      </c>
      <c r="C338">
        <v>98522853</v>
      </c>
    </row>
    <row r="339" spans="1:3" x14ac:dyDescent="0.25">
      <c r="A339" t="s">
        <v>67</v>
      </c>
      <c r="B339" t="s">
        <v>37</v>
      </c>
      <c r="C339">
        <v>142293947</v>
      </c>
    </row>
    <row r="340" spans="1:3" x14ac:dyDescent="0.25">
      <c r="A340" t="s">
        <v>63</v>
      </c>
      <c r="B340" t="s">
        <v>37</v>
      </c>
      <c r="C340">
        <v>1328803334</v>
      </c>
    </row>
    <row r="341" spans="1:3" x14ac:dyDescent="0.25">
      <c r="A341" t="s">
        <v>64</v>
      </c>
      <c r="B341" t="s">
        <v>37</v>
      </c>
      <c r="C341">
        <v>942830776</v>
      </c>
    </row>
    <row r="342" spans="1:3" x14ac:dyDescent="0.25">
      <c r="A342" t="s">
        <v>4</v>
      </c>
      <c r="B342" t="s">
        <v>38</v>
      </c>
      <c r="C342">
        <v>1486707737</v>
      </c>
    </row>
    <row r="343" spans="1:3" x14ac:dyDescent="0.25">
      <c r="A343" t="s">
        <v>66</v>
      </c>
      <c r="B343" t="s">
        <v>38</v>
      </c>
      <c r="C343">
        <v>231037212</v>
      </c>
    </row>
    <row r="344" spans="1:3" x14ac:dyDescent="0.25">
      <c r="A344" t="s">
        <v>65</v>
      </c>
      <c r="B344" t="s">
        <v>38</v>
      </c>
      <c r="C344">
        <v>346903291</v>
      </c>
    </row>
    <row r="345" spans="1:3" x14ac:dyDescent="0.25">
      <c r="A345" t="s">
        <v>62</v>
      </c>
      <c r="B345" t="s">
        <v>38</v>
      </c>
      <c r="C345">
        <v>1592958007</v>
      </c>
    </row>
    <row r="346" spans="1:3" x14ac:dyDescent="0.25">
      <c r="A346" t="s">
        <v>68</v>
      </c>
      <c r="B346" t="s">
        <v>38</v>
      </c>
      <c r="C346">
        <v>99296945</v>
      </c>
    </row>
    <row r="347" spans="1:3" x14ac:dyDescent="0.25">
      <c r="A347" t="s">
        <v>61</v>
      </c>
      <c r="B347" t="s">
        <v>38</v>
      </c>
      <c r="C347">
        <v>80119142</v>
      </c>
    </row>
    <row r="348" spans="1:3" x14ac:dyDescent="0.25">
      <c r="A348" t="s">
        <v>60</v>
      </c>
      <c r="B348" t="s">
        <v>38</v>
      </c>
      <c r="C348">
        <v>105448874</v>
      </c>
    </row>
    <row r="349" spans="1:3" x14ac:dyDescent="0.25">
      <c r="A349" t="s">
        <v>67</v>
      </c>
      <c r="B349" t="s">
        <v>38</v>
      </c>
      <c r="C349">
        <v>158300187</v>
      </c>
    </row>
    <row r="350" spans="1:3" x14ac:dyDescent="0.25">
      <c r="A350" t="s">
        <v>63</v>
      </c>
      <c r="B350" t="s">
        <v>38</v>
      </c>
      <c r="C350">
        <v>1443132558</v>
      </c>
    </row>
    <row r="351" spans="1:3" x14ac:dyDescent="0.25">
      <c r="A351" t="s">
        <v>64</v>
      </c>
      <c r="B351" t="s">
        <v>38</v>
      </c>
      <c r="C351">
        <v>950297435</v>
      </c>
    </row>
    <row r="352" spans="1:3" x14ac:dyDescent="0.25">
      <c r="A352" t="s">
        <v>4</v>
      </c>
      <c r="B352" t="s">
        <v>39</v>
      </c>
      <c r="C352">
        <v>1554820331</v>
      </c>
    </row>
    <row r="353" spans="1:3" x14ac:dyDescent="0.25">
      <c r="A353" t="s">
        <v>66</v>
      </c>
      <c r="B353" t="s">
        <v>39</v>
      </c>
      <c r="C353">
        <v>248785060</v>
      </c>
    </row>
    <row r="354" spans="1:3" x14ac:dyDescent="0.25">
      <c r="A354" t="s">
        <v>65</v>
      </c>
      <c r="B354" t="s">
        <v>39</v>
      </c>
      <c r="C354">
        <v>368182234</v>
      </c>
    </row>
    <row r="355" spans="1:3" x14ac:dyDescent="0.25">
      <c r="A355" t="s">
        <v>62</v>
      </c>
      <c r="B355" t="s">
        <v>39</v>
      </c>
      <c r="C355">
        <v>1574804231</v>
      </c>
    </row>
    <row r="356" spans="1:3" x14ac:dyDescent="0.25">
      <c r="A356" t="s">
        <v>68</v>
      </c>
      <c r="B356" t="s">
        <v>39</v>
      </c>
      <c r="C356">
        <v>115817274</v>
      </c>
    </row>
    <row r="357" spans="1:3" x14ac:dyDescent="0.25">
      <c r="A357" t="s">
        <v>61</v>
      </c>
      <c r="B357" t="s">
        <v>39</v>
      </c>
      <c r="C357">
        <v>92266000</v>
      </c>
    </row>
    <row r="358" spans="1:3" x14ac:dyDescent="0.25">
      <c r="A358" t="s">
        <v>60</v>
      </c>
      <c r="B358" t="s">
        <v>39</v>
      </c>
      <c r="C358">
        <v>118986916</v>
      </c>
    </row>
    <row r="359" spans="1:3" x14ac:dyDescent="0.25">
      <c r="A359" t="s">
        <v>67</v>
      </c>
      <c r="B359" t="s">
        <v>39</v>
      </c>
      <c r="C359">
        <v>175205228</v>
      </c>
    </row>
    <row r="360" spans="1:3" x14ac:dyDescent="0.25">
      <c r="A360" t="s">
        <v>63</v>
      </c>
      <c r="B360" t="s">
        <v>39</v>
      </c>
      <c r="C360">
        <v>1487211979</v>
      </c>
    </row>
    <row r="361" spans="1:3" x14ac:dyDescent="0.25">
      <c r="A361" t="s">
        <v>64</v>
      </c>
      <c r="B361" t="s">
        <v>39</v>
      </c>
      <c r="C361">
        <v>979402577</v>
      </c>
    </row>
    <row r="362" spans="1:3" x14ac:dyDescent="0.25">
      <c r="A362" t="s">
        <v>4</v>
      </c>
      <c r="B362" t="s">
        <v>40</v>
      </c>
      <c r="C362">
        <v>1666377350</v>
      </c>
    </row>
    <row r="363" spans="1:3" x14ac:dyDescent="0.25">
      <c r="A363" t="s">
        <v>66</v>
      </c>
      <c r="B363" t="s">
        <v>40</v>
      </c>
      <c r="C363">
        <v>367319738</v>
      </c>
    </row>
    <row r="364" spans="1:3" x14ac:dyDescent="0.25">
      <c r="A364" t="s">
        <v>65</v>
      </c>
      <c r="B364" t="s">
        <v>40</v>
      </c>
      <c r="C364">
        <v>416853799</v>
      </c>
    </row>
    <row r="365" spans="1:3" x14ac:dyDescent="0.25">
      <c r="A365" t="s">
        <v>62</v>
      </c>
      <c r="B365" t="s">
        <v>40</v>
      </c>
      <c r="C365">
        <v>1600933911</v>
      </c>
    </row>
    <row r="366" spans="1:3" x14ac:dyDescent="0.25">
      <c r="A366" t="s">
        <v>68</v>
      </c>
      <c r="B366" t="s">
        <v>40</v>
      </c>
      <c r="C366">
        <v>123429281</v>
      </c>
    </row>
    <row r="367" spans="1:3" x14ac:dyDescent="0.25">
      <c r="A367" t="s">
        <v>61</v>
      </c>
      <c r="B367" t="s">
        <v>40</v>
      </c>
      <c r="C367">
        <v>105486338</v>
      </c>
    </row>
    <row r="368" spans="1:3" x14ac:dyDescent="0.25">
      <c r="A368" t="s">
        <v>60</v>
      </c>
      <c r="B368" t="s">
        <v>40</v>
      </c>
      <c r="C368">
        <v>128572480</v>
      </c>
    </row>
    <row r="369" spans="1:3" x14ac:dyDescent="0.25">
      <c r="A369" t="s">
        <v>67</v>
      </c>
      <c r="B369" t="s">
        <v>40</v>
      </c>
      <c r="C369">
        <v>204645638</v>
      </c>
    </row>
    <row r="370" spans="1:3" x14ac:dyDescent="0.25">
      <c r="A370" t="s">
        <v>63</v>
      </c>
      <c r="B370" t="s">
        <v>40</v>
      </c>
      <c r="C370">
        <v>1533674101</v>
      </c>
    </row>
    <row r="371" spans="1:3" x14ac:dyDescent="0.25">
      <c r="A371" t="s">
        <v>64</v>
      </c>
      <c r="B371" t="s">
        <v>40</v>
      </c>
      <c r="C371">
        <v>967286238</v>
      </c>
    </row>
    <row r="372" spans="1:3" x14ac:dyDescent="0.25">
      <c r="A372" t="s">
        <v>4</v>
      </c>
      <c r="B372" t="s">
        <v>41</v>
      </c>
      <c r="C372">
        <v>2002453602</v>
      </c>
    </row>
    <row r="373" spans="1:3" x14ac:dyDescent="0.25">
      <c r="A373" t="s">
        <v>66</v>
      </c>
      <c r="B373" t="s">
        <v>41</v>
      </c>
      <c r="C373">
        <v>439365882</v>
      </c>
    </row>
    <row r="374" spans="1:3" x14ac:dyDescent="0.25">
      <c r="A374" t="s">
        <v>65</v>
      </c>
      <c r="B374" t="s">
        <v>41</v>
      </c>
      <c r="C374">
        <v>491117942</v>
      </c>
    </row>
    <row r="375" spans="1:3" x14ac:dyDescent="0.25">
      <c r="A375" t="s">
        <v>62</v>
      </c>
      <c r="B375" t="s">
        <v>41</v>
      </c>
      <c r="C375">
        <v>1979602393</v>
      </c>
    </row>
    <row r="376" spans="1:3" x14ac:dyDescent="0.25">
      <c r="A376" t="s">
        <v>68</v>
      </c>
      <c r="B376" t="s">
        <v>41</v>
      </c>
      <c r="C376">
        <v>138922619</v>
      </c>
    </row>
    <row r="377" spans="1:3" x14ac:dyDescent="0.25">
      <c r="A377" t="s">
        <v>61</v>
      </c>
      <c r="B377" t="s">
        <v>41</v>
      </c>
      <c r="C377">
        <v>122342360</v>
      </c>
    </row>
    <row r="378" spans="1:3" x14ac:dyDescent="0.25">
      <c r="A378" t="s">
        <v>60</v>
      </c>
      <c r="B378" t="s">
        <v>41</v>
      </c>
      <c r="C378">
        <v>147267927</v>
      </c>
    </row>
    <row r="379" spans="1:3" x14ac:dyDescent="0.25">
      <c r="A379" t="s">
        <v>67</v>
      </c>
      <c r="B379" t="s">
        <v>41</v>
      </c>
      <c r="C379">
        <v>246180055</v>
      </c>
    </row>
    <row r="380" spans="1:3" x14ac:dyDescent="0.25">
      <c r="A380" t="s">
        <v>63</v>
      </c>
      <c r="B380" t="s">
        <v>41</v>
      </c>
      <c r="C380">
        <v>1903653126</v>
      </c>
    </row>
    <row r="381" spans="1:3" x14ac:dyDescent="0.25">
      <c r="A381" t="s">
        <v>64</v>
      </c>
      <c r="B381" t="s">
        <v>41</v>
      </c>
      <c r="C381">
        <v>1142965267</v>
      </c>
    </row>
    <row r="382" spans="1:3" x14ac:dyDescent="0.25">
      <c r="A382" t="s">
        <v>4</v>
      </c>
      <c r="B382" t="s">
        <v>42</v>
      </c>
      <c r="C382">
        <v>2126453519</v>
      </c>
    </row>
    <row r="383" spans="1:3" x14ac:dyDescent="0.25">
      <c r="A383" t="s">
        <v>66</v>
      </c>
      <c r="B383" t="s">
        <v>42</v>
      </c>
      <c r="C383">
        <v>436668891</v>
      </c>
    </row>
    <row r="384" spans="1:3" x14ac:dyDescent="0.25">
      <c r="A384" t="s">
        <v>65</v>
      </c>
      <c r="B384" t="s">
        <v>42</v>
      </c>
      <c r="C384">
        <v>514805686</v>
      </c>
    </row>
    <row r="385" spans="1:3" x14ac:dyDescent="0.25">
      <c r="A385" t="s">
        <v>62</v>
      </c>
      <c r="B385" t="s">
        <v>42</v>
      </c>
      <c r="C385">
        <v>2184355053</v>
      </c>
    </row>
    <row r="386" spans="1:3" x14ac:dyDescent="0.25">
      <c r="A386" t="s">
        <v>68</v>
      </c>
      <c r="B386" t="s">
        <v>42</v>
      </c>
      <c r="C386">
        <v>138070763</v>
      </c>
    </row>
    <row r="387" spans="1:3" x14ac:dyDescent="0.25">
      <c r="A387" t="s">
        <v>61</v>
      </c>
      <c r="B387" t="s">
        <v>42</v>
      </c>
      <c r="C387">
        <v>113440968</v>
      </c>
    </row>
    <row r="388" spans="1:3" x14ac:dyDescent="0.25">
      <c r="A388" t="s">
        <v>60</v>
      </c>
      <c r="B388" t="s">
        <v>42</v>
      </c>
      <c r="C388">
        <v>157171969</v>
      </c>
    </row>
    <row r="389" spans="1:3" x14ac:dyDescent="0.25">
      <c r="A389" t="s">
        <v>67</v>
      </c>
      <c r="B389" t="s">
        <v>42</v>
      </c>
      <c r="C389">
        <v>258818306</v>
      </c>
    </row>
    <row r="390" spans="1:3" x14ac:dyDescent="0.25">
      <c r="A390" t="s">
        <v>63</v>
      </c>
      <c r="B390" t="s">
        <v>42</v>
      </c>
      <c r="C390">
        <v>2038746452</v>
      </c>
    </row>
    <row r="391" spans="1:3" x14ac:dyDescent="0.25">
      <c r="A391" t="s">
        <v>64</v>
      </c>
      <c r="B391" t="s">
        <v>42</v>
      </c>
      <c r="C391">
        <v>1151604028</v>
      </c>
    </row>
    <row r="392" spans="1:3" x14ac:dyDescent="0.25">
      <c r="A392" t="s">
        <v>4</v>
      </c>
      <c r="B392" t="s">
        <v>43</v>
      </c>
      <c r="C392">
        <v>1869468014</v>
      </c>
    </row>
    <row r="393" spans="1:3" x14ac:dyDescent="0.25">
      <c r="A393" t="s">
        <v>66</v>
      </c>
      <c r="B393" t="s">
        <v>43</v>
      </c>
      <c r="C393">
        <v>420687588</v>
      </c>
    </row>
    <row r="394" spans="1:3" x14ac:dyDescent="0.25">
      <c r="A394" t="s">
        <v>65</v>
      </c>
      <c r="B394" t="s">
        <v>43</v>
      </c>
      <c r="C394">
        <v>476458144</v>
      </c>
    </row>
    <row r="395" spans="1:3" x14ac:dyDescent="0.25">
      <c r="A395" t="s">
        <v>62</v>
      </c>
      <c r="B395" t="s">
        <v>43</v>
      </c>
      <c r="C395">
        <v>2039881243</v>
      </c>
    </row>
    <row r="396" spans="1:3" x14ac:dyDescent="0.25">
      <c r="A396" t="s">
        <v>68</v>
      </c>
      <c r="B396" t="s">
        <v>43</v>
      </c>
      <c r="C396">
        <v>134069880</v>
      </c>
    </row>
    <row r="397" spans="1:3" x14ac:dyDescent="0.25">
      <c r="A397" t="s">
        <v>61</v>
      </c>
      <c r="B397" t="s">
        <v>43</v>
      </c>
      <c r="C397">
        <v>103684702</v>
      </c>
    </row>
    <row r="398" spans="1:3" x14ac:dyDescent="0.25">
      <c r="A398" t="s">
        <v>60</v>
      </c>
      <c r="B398" t="s">
        <v>43</v>
      </c>
      <c r="C398">
        <v>144660505</v>
      </c>
    </row>
    <row r="399" spans="1:3" x14ac:dyDescent="0.25">
      <c r="A399" t="s">
        <v>67</v>
      </c>
      <c r="B399" t="s">
        <v>43</v>
      </c>
      <c r="C399">
        <v>229680014</v>
      </c>
    </row>
    <row r="400" spans="1:3" x14ac:dyDescent="0.25">
      <c r="A400" t="s">
        <v>63</v>
      </c>
      <c r="B400" t="s">
        <v>43</v>
      </c>
      <c r="C400">
        <v>1873661603</v>
      </c>
    </row>
    <row r="401" spans="1:3" x14ac:dyDescent="0.25">
      <c r="A401" t="s">
        <v>64</v>
      </c>
      <c r="B401" t="s">
        <v>43</v>
      </c>
      <c r="C401">
        <v>1140077734</v>
      </c>
    </row>
    <row r="402" spans="1:3" x14ac:dyDescent="0.25">
      <c r="A402" t="s">
        <v>4</v>
      </c>
      <c r="B402" t="s">
        <v>44</v>
      </c>
      <c r="C402">
        <v>1630714088</v>
      </c>
    </row>
    <row r="403" spans="1:3" x14ac:dyDescent="0.25">
      <c r="A403" t="s">
        <v>66</v>
      </c>
      <c r="B403" t="s">
        <v>44</v>
      </c>
      <c r="C403">
        <v>362341413</v>
      </c>
    </row>
    <row r="404" spans="1:3" x14ac:dyDescent="0.25">
      <c r="A404" t="s">
        <v>65</v>
      </c>
      <c r="B404" t="s">
        <v>44</v>
      </c>
      <c r="C404">
        <v>437105346</v>
      </c>
    </row>
    <row r="405" spans="1:3" x14ac:dyDescent="0.25">
      <c r="A405" t="s">
        <v>62</v>
      </c>
      <c r="B405" t="s">
        <v>44</v>
      </c>
      <c r="C405">
        <v>1684074209</v>
      </c>
    </row>
    <row r="406" spans="1:3" x14ac:dyDescent="0.25">
      <c r="A406" t="s">
        <v>68</v>
      </c>
      <c r="B406" t="s">
        <v>44</v>
      </c>
      <c r="C406">
        <v>120016516</v>
      </c>
    </row>
    <row r="407" spans="1:3" x14ac:dyDescent="0.25">
      <c r="A407" t="s">
        <v>61</v>
      </c>
      <c r="B407" t="s">
        <v>44</v>
      </c>
      <c r="C407">
        <v>99473327</v>
      </c>
    </row>
    <row r="408" spans="1:3" x14ac:dyDescent="0.25">
      <c r="A408" t="s">
        <v>60</v>
      </c>
      <c r="B408" t="s">
        <v>44</v>
      </c>
      <c r="C408">
        <v>121072528</v>
      </c>
    </row>
    <row r="409" spans="1:3" x14ac:dyDescent="0.25">
      <c r="A409" t="s">
        <v>67</v>
      </c>
      <c r="B409" t="s">
        <v>44</v>
      </c>
      <c r="C409">
        <v>229636084</v>
      </c>
    </row>
    <row r="410" spans="1:3" x14ac:dyDescent="0.25">
      <c r="A410" t="s">
        <v>63</v>
      </c>
      <c r="B410" t="s">
        <v>44</v>
      </c>
      <c r="C410">
        <v>1571379217</v>
      </c>
    </row>
    <row r="411" spans="1:3" x14ac:dyDescent="0.25">
      <c r="A411" t="s">
        <v>64</v>
      </c>
      <c r="B411" t="s">
        <v>44</v>
      </c>
      <c r="C411">
        <v>968501700</v>
      </c>
    </row>
    <row r="412" spans="1:3" x14ac:dyDescent="0.25">
      <c r="A412" t="s">
        <v>4</v>
      </c>
      <c r="B412" t="s">
        <v>45</v>
      </c>
      <c r="C412">
        <v>1887366245</v>
      </c>
    </row>
    <row r="413" spans="1:3" x14ac:dyDescent="0.25">
      <c r="A413" t="s">
        <v>66</v>
      </c>
      <c r="B413" t="s">
        <v>45</v>
      </c>
      <c r="C413">
        <v>426337404</v>
      </c>
    </row>
    <row r="414" spans="1:3" x14ac:dyDescent="0.25">
      <c r="A414" t="s">
        <v>65</v>
      </c>
      <c r="B414" t="s">
        <v>45</v>
      </c>
      <c r="C414">
        <v>484275565</v>
      </c>
    </row>
    <row r="415" spans="1:3" x14ac:dyDescent="0.25">
      <c r="A415" t="s">
        <v>62</v>
      </c>
      <c r="B415" t="s">
        <v>45</v>
      </c>
      <c r="C415">
        <v>1966302158</v>
      </c>
    </row>
    <row r="416" spans="1:3" x14ac:dyDescent="0.25">
      <c r="A416" t="s">
        <v>68</v>
      </c>
      <c r="B416" t="s">
        <v>45</v>
      </c>
      <c r="C416">
        <v>134095421</v>
      </c>
    </row>
    <row r="417" spans="1:3" x14ac:dyDescent="0.25">
      <c r="A417" t="s">
        <v>61</v>
      </c>
      <c r="B417" t="s">
        <v>45</v>
      </c>
      <c r="C417">
        <v>120009216</v>
      </c>
    </row>
    <row r="418" spans="1:3" x14ac:dyDescent="0.25">
      <c r="A418" t="s">
        <v>60</v>
      </c>
      <c r="B418" t="s">
        <v>45</v>
      </c>
      <c r="C418">
        <v>135377593</v>
      </c>
    </row>
    <row r="419" spans="1:3" x14ac:dyDescent="0.25">
      <c r="A419" t="s">
        <v>67</v>
      </c>
      <c r="B419" t="s">
        <v>45</v>
      </c>
      <c r="C419">
        <v>265005455</v>
      </c>
    </row>
    <row r="420" spans="1:3" x14ac:dyDescent="0.25">
      <c r="A420" t="s">
        <v>63</v>
      </c>
      <c r="B420" t="s">
        <v>45</v>
      </c>
      <c r="C420">
        <v>1873594576</v>
      </c>
    </row>
    <row r="421" spans="1:3" x14ac:dyDescent="0.25">
      <c r="A421" t="s">
        <v>64</v>
      </c>
      <c r="B421" t="s">
        <v>45</v>
      </c>
      <c r="C421">
        <v>1084476761</v>
      </c>
    </row>
    <row r="422" spans="1:3" x14ac:dyDescent="0.25">
      <c r="A422" t="s">
        <v>4</v>
      </c>
      <c r="B422" t="s">
        <v>46</v>
      </c>
      <c r="C422">
        <v>1887150003</v>
      </c>
    </row>
    <row r="423" spans="1:3" x14ac:dyDescent="0.25">
      <c r="A423" t="s">
        <v>66</v>
      </c>
      <c r="B423" t="s">
        <v>46</v>
      </c>
      <c r="C423">
        <v>412144359</v>
      </c>
    </row>
    <row r="424" spans="1:3" x14ac:dyDescent="0.25">
      <c r="A424" t="s">
        <v>65</v>
      </c>
      <c r="B424" t="s">
        <v>46</v>
      </c>
      <c r="C424">
        <v>471055532</v>
      </c>
    </row>
    <row r="425" spans="1:3" x14ac:dyDescent="0.25">
      <c r="A425" t="s">
        <v>62</v>
      </c>
      <c r="B425" t="s">
        <v>46</v>
      </c>
      <c r="C425">
        <v>1960079222</v>
      </c>
    </row>
    <row r="426" spans="1:3" x14ac:dyDescent="0.25">
      <c r="A426" t="s">
        <v>68</v>
      </c>
      <c r="B426" t="s">
        <v>46</v>
      </c>
      <c r="C426">
        <v>143225931</v>
      </c>
    </row>
    <row r="427" spans="1:3" x14ac:dyDescent="0.25">
      <c r="A427" t="s">
        <v>61</v>
      </c>
      <c r="B427" t="s">
        <v>46</v>
      </c>
      <c r="C427">
        <v>105350096</v>
      </c>
    </row>
    <row r="428" spans="1:3" x14ac:dyDescent="0.25">
      <c r="A428" t="s">
        <v>60</v>
      </c>
      <c r="B428" t="s">
        <v>46</v>
      </c>
      <c r="C428">
        <v>133194830</v>
      </c>
    </row>
    <row r="429" spans="1:3" x14ac:dyDescent="0.25">
      <c r="A429" t="s">
        <v>67</v>
      </c>
      <c r="B429" t="s">
        <v>46</v>
      </c>
      <c r="C429">
        <v>253846988</v>
      </c>
    </row>
    <row r="430" spans="1:3" x14ac:dyDescent="0.25">
      <c r="A430" t="s">
        <v>63</v>
      </c>
      <c r="B430" t="s">
        <v>46</v>
      </c>
      <c r="C430">
        <v>1833020108</v>
      </c>
    </row>
    <row r="431" spans="1:3" x14ac:dyDescent="0.25">
      <c r="A431" t="s">
        <v>64</v>
      </c>
      <c r="B431" t="s">
        <v>46</v>
      </c>
      <c r="C431">
        <v>1034876651</v>
      </c>
    </row>
    <row r="432" spans="1:3" x14ac:dyDescent="0.25">
      <c r="A432" t="s">
        <v>4</v>
      </c>
      <c r="B432" t="s">
        <v>47</v>
      </c>
      <c r="C432">
        <v>1727832692</v>
      </c>
    </row>
    <row r="433" spans="1:3" x14ac:dyDescent="0.25">
      <c r="A433" t="s">
        <v>66</v>
      </c>
      <c r="B433" t="s">
        <v>47</v>
      </c>
      <c r="C433">
        <v>405557345</v>
      </c>
    </row>
    <row r="434" spans="1:3" x14ac:dyDescent="0.25">
      <c r="A434" t="s">
        <v>65</v>
      </c>
      <c r="B434" t="s">
        <v>47</v>
      </c>
      <c r="C434">
        <v>454755085</v>
      </c>
    </row>
    <row r="435" spans="1:3" x14ac:dyDescent="0.25">
      <c r="A435" t="s">
        <v>62</v>
      </c>
      <c r="B435" t="s">
        <v>47</v>
      </c>
      <c r="C435">
        <v>1704275994</v>
      </c>
    </row>
    <row r="436" spans="1:3" x14ac:dyDescent="0.25">
      <c r="A436" t="s">
        <v>68</v>
      </c>
      <c r="B436" t="s">
        <v>47</v>
      </c>
      <c r="C436">
        <v>146181799</v>
      </c>
    </row>
    <row r="437" spans="1:3" x14ac:dyDescent="0.25">
      <c r="A437" t="s">
        <v>61</v>
      </c>
      <c r="B437" t="s">
        <v>47</v>
      </c>
      <c r="C437">
        <v>103820658</v>
      </c>
    </row>
    <row r="438" spans="1:3" x14ac:dyDescent="0.25">
      <c r="A438" t="s">
        <v>60</v>
      </c>
      <c r="B438" t="s">
        <v>47</v>
      </c>
      <c r="C438">
        <v>131769461</v>
      </c>
    </row>
    <row r="439" spans="1:3" x14ac:dyDescent="0.25">
      <c r="A439" t="s">
        <v>67</v>
      </c>
      <c r="B439" t="s">
        <v>47</v>
      </c>
      <c r="C439">
        <v>244988658</v>
      </c>
    </row>
    <row r="440" spans="1:3" x14ac:dyDescent="0.25">
      <c r="A440" t="s">
        <v>63</v>
      </c>
      <c r="B440" t="s">
        <v>47</v>
      </c>
      <c r="C440">
        <v>1745972023</v>
      </c>
    </row>
    <row r="441" spans="1:3" x14ac:dyDescent="0.25">
      <c r="A441" t="s">
        <v>64</v>
      </c>
      <c r="B441" t="s">
        <v>47</v>
      </c>
      <c r="C441">
        <v>1055382052</v>
      </c>
    </row>
    <row r="442" spans="1:3" x14ac:dyDescent="0.25">
      <c r="A442" t="s">
        <v>4</v>
      </c>
      <c r="B442" t="s">
        <v>48</v>
      </c>
      <c r="C442">
        <v>1301661027</v>
      </c>
    </row>
    <row r="443" spans="1:3" x14ac:dyDescent="0.25">
      <c r="A443" t="s">
        <v>66</v>
      </c>
      <c r="B443" t="s">
        <v>48</v>
      </c>
      <c r="C443">
        <v>316901620</v>
      </c>
    </row>
    <row r="444" spans="1:3" x14ac:dyDescent="0.25">
      <c r="A444" t="s">
        <v>65</v>
      </c>
      <c r="B444" t="s">
        <v>48</v>
      </c>
      <c r="C444">
        <v>365233830</v>
      </c>
    </row>
    <row r="445" spans="1:3" x14ac:dyDescent="0.25">
      <c r="A445" t="s">
        <v>62</v>
      </c>
      <c r="B445" t="s">
        <v>48</v>
      </c>
      <c r="C445">
        <v>1378265322</v>
      </c>
    </row>
    <row r="446" spans="1:3" x14ac:dyDescent="0.25">
      <c r="A446" t="s">
        <v>68</v>
      </c>
      <c r="B446" t="s">
        <v>48</v>
      </c>
      <c r="C446">
        <v>117444790</v>
      </c>
    </row>
    <row r="447" spans="1:3" x14ac:dyDescent="0.25">
      <c r="A447" t="s">
        <v>61</v>
      </c>
      <c r="B447" t="s">
        <v>48</v>
      </c>
      <c r="C447">
        <v>89257839</v>
      </c>
    </row>
    <row r="448" spans="1:3" x14ac:dyDescent="0.25">
      <c r="A448" t="s">
        <v>60</v>
      </c>
      <c r="B448" t="s">
        <v>48</v>
      </c>
      <c r="C448">
        <v>109070094</v>
      </c>
    </row>
    <row r="449" spans="1:3" x14ac:dyDescent="0.25">
      <c r="A449" t="s">
        <v>67</v>
      </c>
      <c r="B449" t="s">
        <v>48</v>
      </c>
      <c r="C449">
        <v>213207977</v>
      </c>
    </row>
    <row r="450" spans="1:3" x14ac:dyDescent="0.25">
      <c r="A450" t="s">
        <v>63</v>
      </c>
      <c r="B450" t="s">
        <v>48</v>
      </c>
      <c r="C450">
        <v>1307507966</v>
      </c>
    </row>
    <row r="451" spans="1:3" x14ac:dyDescent="0.25">
      <c r="A451" t="s">
        <v>64</v>
      </c>
      <c r="B451" t="s">
        <v>48</v>
      </c>
      <c r="C451">
        <v>827505563</v>
      </c>
    </row>
    <row r="452" spans="1:3" x14ac:dyDescent="0.25">
      <c r="A452" t="s">
        <v>4</v>
      </c>
      <c r="B452" t="s">
        <v>49</v>
      </c>
      <c r="C452">
        <v>198861626</v>
      </c>
    </row>
    <row r="453" spans="1:3" x14ac:dyDescent="0.25">
      <c r="A453" t="s">
        <v>66</v>
      </c>
      <c r="B453" t="s">
        <v>49</v>
      </c>
      <c r="C453">
        <v>46042179</v>
      </c>
    </row>
    <row r="454" spans="1:3" x14ac:dyDescent="0.25">
      <c r="A454" t="s">
        <v>65</v>
      </c>
      <c r="B454" t="s">
        <v>49</v>
      </c>
      <c r="C454">
        <v>29195127</v>
      </c>
    </row>
    <row r="455" spans="1:3" x14ac:dyDescent="0.25">
      <c r="A455" t="s">
        <v>62</v>
      </c>
      <c r="B455" t="s">
        <v>49</v>
      </c>
      <c r="C455">
        <v>332812728</v>
      </c>
    </row>
    <row r="456" spans="1:3" x14ac:dyDescent="0.25">
      <c r="A456" t="s">
        <v>68</v>
      </c>
      <c r="B456" t="s">
        <v>49</v>
      </c>
      <c r="C456">
        <v>12766450</v>
      </c>
    </row>
    <row r="457" spans="1:3" x14ac:dyDescent="0.25">
      <c r="A457" t="s">
        <v>61</v>
      </c>
      <c r="B457" t="s">
        <v>49</v>
      </c>
      <c r="C457">
        <v>26835532</v>
      </c>
    </row>
    <row r="458" spans="1:3" x14ac:dyDescent="0.25">
      <c r="A458" t="s">
        <v>60</v>
      </c>
      <c r="B458" t="s">
        <v>49</v>
      </c>
      <c r="C458">
        <v>6747233</v>
      </c>
    </row>
    <row r="459" spans="1:3" x14ac:dyDescent="0.25">
      <c r="A459" t="s">
        <v>67</v>
      </c>
      <c r="B459" t="s">
        <v>49</v>
      </c>
      <c r="C459">
        <v>19913791</v>
      </c>
    </row>
    <row r="460" spans="1:3" x14ac:dyDescent="0.25">
      <c r="A460" t="s">
        <v>63</v>
      </c>
      <c r="B460" t="s">
        <v>49</v>
      </c>
      <c r="C460">
        <v>167527133</v>
      </c>
    </row>
    <row r="461" spans="1:3" x14ac:dyDescent="0.25">
      <c r="A461" t="s">
        <v>64</v>
      </c>
      <c r="B461" t="s">
        <v>49</v>
      </c>
      <c r="C461">
        <v>260101829</v>
      </c>
    </row>
    <row r="462" spans="1:3" x14ac:dyDescent="0.25">
      <c r="A462" t="s">
        <v>4</v>
      </c>
      <c r="B462" t="s">
        <v>50</v>
      </c>
      <c r="C462">
        <v>420029455</v>
      </c>
    </row>
    <row r="463" spans="1:3" x14ac:dyDescent="0.25">
      <c r="A463" t="s">
        <v>66</v>
      </c>
      <c r="B463" t="s">
        <v>50</v>
      </c>
      <c r="C463">
        <v>97849924</v>
      </c>
    </row>
    <row r="464" spans="1:3" x14ac:dyDescent="0.25">
      <c r="A464" t="s">
        <v>65</v>
      </c>
      <c r="B464" t="s">
        <v>50</v>
      </c>
      <c r="C464">
        <v>101316639</v>
      </c>
    </row>
    <row r="465" spans="1:3" x14ac:dyDescent="0.25">
      <c r="A465" t="s">
        <v>62</v>
      </c>
      <c r="B465" t="s">
        <v>50</v>
      </c>
      <c r="C465">
        <v>410228181</v>
      </c>
    </row>
    <row r="466" spans="1:3" x14ac:dyDescent="0.25">
      <c r="A466" t="s">
        <v>68</v>
      </c>
      <c r="B466" t="s">
        <v>50</v>
      </c>
      <c r="C466">
        <v>42076672</v>
      </c>
    </row>
    <row r="467" spans="1:3" x14ac:dyDescent="0.25">
      <c r="A467" t="s">
        <v>61</v>
      </c>
      <c r="B467" t="s">
        <v>50</v>
      </c>
      <c r="C467">
        <v>52738508</v>
      </c>
    </row>
    <row r="468" spans="1:3" x14ac:dyDescent="0.25">
      <c r="A468" t="s">
        <v>60</v>
      </c>
      <c r="B468" t="s">
        <v>50</v>
      </c>
      <c r="C468">
        <v>14859507</v>
      </c>
    </row>
    <row r="469" spans="1:3" x14ac:dyDescent="0.25">
      <c r="A469" t="s">
        <v>67</v>
      </c>
      <c r="B469" t="s">
        <v>50</v>
      </c>
      <c r="C469">
        <v>94284578</v>
      </c>
    </row>
    <row r="470" spans="1:3" x14ac:dyDescent="0.25">
      <c r="A470" t="s">
        <v>63</v>
      </c>
      <c r="B470" t="s">
        <v>50</v>
      </c>
      <c r="C470">
        <v>350995700</v>
      </c>
    </row>
    <row r="471" spans="1:3" x14ac:dyDescent="0.25">
      <c r="A471" t="s">
        <v>64</v>
      </c>
      <c r="B471" t="s">
        <v>50</v>
      </c>
      <c r="C471">
        <v>369246273</v>
      </c>
    </row>
    <row r="472" spans="1:3" x14ac:dyDescent="0.25">
      <c r="A472" t="s">
        <v>4</v>
      </c>
      <c r="B472" t="s">
        <v>51</v>
      </c>
      <c r="C472">
        <v>486961900</v>
      </c>
    </row>
    <row r="473" spans="1:3" x14ac:dyDescent="0.25">
      <c r="A473" t="s">
        <v>66</v>
      </c>
      <c r="B473" t="s">
        <v>51</v>
      </c>
      <c r="C473">
        <v>129732459</v>
      </c>
    </row>
    <row r="474" spans="1:3" x14ac:dyDescent="0.25">
      <c r="A474" t="s">
        <v>65</v>
      </c>
      <c r="B474" t="s">
        <v>51</v>
      </c>
      <c r="C474">
        <v>133934052</v>
      </c>
    </row>
    <row r="475" spans="1:3" x14ac:dyDescent="0.25">
      <c r="A475" t="s">
        <v>62</v>
      </c>
      <c r="B475" t="s">
        <v>51</v>
      </c>
      <c r="C475">
        <v>609428451</v>
      </c>
    </row>
    <row r="476" spans="1:3" x14ac:dyDescent="0.25">
      <c r="A476" t="s">
        <v>68</v>
      </c>
      <c r="B476" t="s">
        <v>51</v>
      </c>
      <c r="C476">
        <v>46851965</v>
      </c>
    </row>
    <row r="477" spans="1:3" x14ac:dyDescent="0.25">
      <c r="A477" t="s">
        <v>61</v>
      </c>
      <c r="B477" t="s">
        <v>51</v>
      </c>
      <c r="C477">
        <v>52769639</v>
      </c>
    </row>
    <row r="478" spans="1:3" x14ac:dyDescent="0.25">
      <c r="A478" t="s">
        <v>60</v>
      </c>
      <c r="B478" t="s">
        <v>51</v>
      </c>
      <c r="C478">
        <v>25910706</v>
      </c>
    </row>
    <row r="479" spans="1:3" x14ac:dyDescent="0.25">
      <c r="A479" t="s">
        <v>67</v>
      </c>
      <c r="B479" t="s">
        <v>51</v>
      </c>
      <c r="C479">
        <v>103597136</v>
      </c>
    </row>
    <row r="480" spans="1:3" x14ac:dyDescent="0.25">
      <c r="A480" t="s">
        <v>63</v>
      </c>
      <c r="B480" t="s">
        <v>51</v>
      </c>
      <c r="C480">
        <v>487654916</v>
      </c>
    </row>
    <row r="481" spans="1:3" x14ac:dyDescent="0.25">
      <c r="A481" t="s">
        <v>64</v>
      </c>
      <c r="B481" t="s">
        <v>51</v>
      </c>
      <c r="C481">
        <v>350332421</v>
      </c>
    </row>
    <row r="482" spans="1:3" x14ac:dyDescent="0.25">
      <c r="A482" t="s">
        <v>4</v>
      </c>
      <c r="B482" t="s">
        <v>52</v>
      </c>
      <c r="C482">
        <v>719347210</v>
      </c>
    </row>
    <row r="483" spans="1:3" x14ac:dyDescent="0.25">
      <c r="A483" t="s">
        <v>66</v>
      </c>
      <c r="B483" t="s">
        <v>52</v>
      </c>
      <c r="C483">
        <v>183056454</v>
      </c>
    </row>
    <row r="484" spans="1:3" x14ac:dyDescent="0.25">
      <c r="A484" t="s">
        <v>65</v>
      </c>
      <c r="B484" t="s">
        <v>52</v>
      </c>
      <c r="C484">
        <v>193394073</v>
      </c>
    </row>
    <row r="485" spans="1:3" x14ac:dyDescent="0.25">
      <c r="A485" t="s">
        <v>62</v>
      </c>
      <c r="B485" t="s">
        <v>52</v>
      </c>
      <c r="C485">
        <v>889222115</v>
      </c>
    </row>
    <row r="486" spans="1:3" x14ac:dyDescent="0.25">
      <c r="A486" t="s">
        <v>68</v>
      </c>
      <c r="B486" t="s">
        <v>52</v>
      </c>
      <c r="C486">
        <v>70746673</v>
      </c>
    </row>
    <row r="487" spans="1:3" x14ac:dyDescent="0.25">
      <c r="A487" t="s">
        <v>61</v>
      </c>
      <c r="B487" t="s">
        <v>52</v>
      </c>
      <c r="C487">
        <v>82741324</v>
      </c>
    </row>
    <row r="488" spans="1:3" x14ac:dyDescent="0.25">
      <c r="A488" t="s">
        <v>60</v>
      </c>
      <c r="B488" t="s">
        <v>52</v>
      </c>
      <c r="C488">
        <v>47029701</v>
      </c>
    </row>
    <row r="489" spans="1:3" x14ac:dyDescent="0.25">
      <c r="A489" t="s">
        <v>67</v>
      </c>
      <c r="B489" t="s">
        <v>52</v>
      </c>
      <c r="C489">
        <v>142930488</v>
      </c>
    </row>
    <row r="490" spans="1:3" x14ac:dyDescent="0.25">
      <c r="A490" t="s">
        <v>63</v>
      </c>
      <c r="B490" t="s">
        <v>52</v>
      </c>
      <c r="C490">
        <v>613885788</v>
      </c>
    </row>
    <row r="491" spans="1:3" x14ac:dyDescent="0.25">
      <c r="A491" t="s">
        <v>64</v>
      </c>
      <c r="B491" t="s">
        <v>52</v>
      </c>
      <c r="C491">
        <v>455093551</v>
      </c>
    </row>
    <row r="492" spans="1:3" x14ac:dyDescent="0.25">
      <c r="A492" t="s">
        <v>4</v>
      </c>
      <c r="B492" t="s">
        <v>53</v>
      </c>
      <c r="C492">
        <v>1148158301</v>
      </c>
    </row>
    <row r="493" spans="1:3" x14ac:dyDescent="0.25">
      <c r="A493" t="s">
        <v>66</v>
      </c>
      <c r="B493" t="s">
        <v>53</v>
      </c>
      <c r="C493">
        <v>278361625</v>
      </c>
    </row>
    <row r="494" spans="1:3" x14ac:dyDescent="0.25">
      <c r="A494" t="s">
        <v>65</v>
      </c>
      <c r="B494" t="s">
        <v>53</v>
      </c>
      <c r="C494">
        <v>334889811</v>
      </c>
    </row>
    <row r="495" spans="1:3" x14ac:dyDescent="0.25">
      <c r="A495" t="s">
        <v>62</v>
      </c>
      <c r="B495" t="s">
        <v>53</v>
      </c>
      <c r="C495">
        <v>1399090614</v>
      </c>
    </row>
    <row r="496" spans="1:3" x14ac:dyDescent="0.25">
      <c r="A496" t="s">
        <v>68</v>
      </c>
      <c r="B496" t="s">
        <v>53</v>
      </c>
      <c r="C496">
        <v>122504027</v>
      </c>
    </row>
    <row r="497" spans="1:3" x14ac:dyDescent="0.25">
      <c r="A497" t="s">
        <v>61</v>
      </c>
      <c r="B497" t="s">
        <v>53</v>
      </c>
      <c r="C497">
        <v>109643039</v>
      </c>
    </row>
    <row r="498" spans="1:3" x14ac:dyDescent="0.25">
      <c r="A498" t="s">
        <v>60</v>
      </c>
      <c r="B498" t="s">
        <v>53</v>
      </c>
      <c r="C498">
        <v>79194182</v>
      </c>
    </row>
    <row r="499" spans="1:3" x14ac:dyDescent="0.25">
      <c r="A499" t="s">
        <v>67</v>
      </c>
      <c r="B499" t="s">
        <v>53</v>
      </c>
      <c r="C499">
        <v>214824639</v>
      </c>
    </row>
    <row r="500" spans="1:3" x14ac:dyDescent="0.25">
      <c r="A500" t="s">
        <v>63</v>
      </c>
      <c r="B500" t="s">
        <v>53</v>
      </c>
      <c r="C500">
        <v>903958116</v>
      </c>
    </row>
    <row r="501" spans="1:3" x14ac:dyDescent="0.25">
      <c r="A501" t="s">
        <v>64</v>
      </c>
      <c r="B501" t="s">
        <v>53</v>
      </c>
      <c r="C501">
        <v>776986147</v>
      </c>
    </row>
    <row r="502" spans="1:3" x14ac:dyDescent="0.25">
      <c r="A502" t="s">
        <v>4</v>
      </c>
      <c r="B502" t="s">
        <v>54</v>
      </c>
      <c r="C502">
        <v>1411999175</v>
      </c>
    </row>
    <row r="503" spans="1:3" x14ac:dyDescent="0.25">
      <c r="A503" t="s">
        <v>66</v>
      </c>
      <c r="B503" t="s">
        <v>54</v>
      </c>
      <c r="C503">
        <v>333456499</v>
      </c>
    </row>
    <row r="504" spans="1:3" x14ac:dyDescent="0.25">
      <c r="A504" t="s">
        <v>65</v>
      </c>
      <c r="B504" t="s">
        <v>54</v>
      </c>
      <c r="C504">
        <v>442554671</v>
      </c>
    </row>
    <row r="505" spans="1:3" x14ac:dyDescent="0.25">
      <c r="A505" t="s">
        <v>62</v>
      </c>
      <c r="B505" t="s">
        <v>54</v>
      </c>
      <c r="C505">
        <v>1288346787</v>
      </c>
    </row>
    <row r="506" spans="1:3" x14ac:dyDescent="0.25">
      <c r="A506" t="s">
        <v>68</v>
      </c>
      <c r="B506" t="s">
        <v>54</v>
      </c>
      <c r="C506">
        <v>148057592</v>
      </c>
    </row>
    <row r="507" spans="1:3" x14ac:dyDescent="0.25">
      <c r="A507" t="s">
        <v>61</v>
      </c>
      <c r="B507" t="s">
        <v>54</v>
      </c>
      <c r="C507">
        <v>118378857</v>
      </c>
    </row>
    <row r="508" spans="1:3" x14ac:dyDescent="0.25">
      <c r="A508" t="s">
        <v>60</v>
      </c>
      <c r="B508" t="s">
        <v>54</v>
      </c>
      <c r="C508">
        <v>102545131</v>
      </c>
    </row>
    <row r="509" spans="1:3" x14ac:dyDescent="0.25">
      <c r="A509" t="s">
        <v>67</v>
      </c>
      <c r="B509" t="s">
        <v>54</v>
      </c>
      <c r="C509">
        <v>259617615</v>
      </c>
    </row>
    <row r="510" spans="1:3" x14ac:dyDescent="0.25">
      <c r="A510" t="s">
        <v>63</v>
      </c>
      <c r="B510" t="s">
        <v>54</v>
      </c>
      <c r="C510">
        <v>1271458446</v>
      </c>
    </row>
    <row r="511" spans="1:3" x14ac:dyDescent="0.25">
      <c r="A511" t="s">
        <v>64</v>
      </c>
      <c r="B511" t="s">
        <v>54</v>
      </c>
      <c r="C511">
        <v>950126229</v>
      </c>
    </row>
    <row r="512" spans="1:3" x14ac:dyDescent="0.25">
      <c r="A512" t="s">
        <v>4</v>
      </c>
      <c r="B512" t="s">
        <v>55</v>
      </c>
      <c r="C512">
        <v>1614820281</v>
      </c>
    </row>
    <row r="513" spans="1:3" x14ac:dyDescent="0.25">
      <c r="A513" t="s">
        <v>66</v>
      </c>
      <c r="B513" t="s">
        <v>55</v>
      </c>
      <c r="C513">
        <v>371037864</v>
      </c>
    </row>
    <row r="514" spans="1:3" x14ac:dyDescent="0.25">
      <c r="A514" t="s">
        <v>65</v>
      </c>
      <c r="B514" t="s">
        <v>55</v>
      </c>
      <c r="C514">
        <v>461913641</v>
      </c>
    </row>
    <row r="515" spans="1:3" x14ac:dyDescent="0.25">
      <c r="A515" t="s">
        <v>62</v>
      </c>
      <c r="B515" t="s">
        <v>55</v>
      </c>
      <c r="C515">
        <v>1327442079</v>
      </c>
    </row>
    <row r="516" spans="1:3" x14ac:dyDescent="0.25">
      <c r="A516" t="s">
        <v>68</v>
      </c>
      <c r="B516" t="s">
        <v>55</v>
      </c>
      <c r="C516">
        <v>170178202</v>
      </c>
    </row>
    <row r="517" spans="1:3" x14ac:dyDescent="0.25">
      <c r="A517" t="s">
        <v>61</v>
      </c>
      <c r="B517" t="s">
        <v>55</v>
      </c>
      <c r="C517">
        <v>129661849</v>
      </c>
    </row>
    <row r="518" spans="1:3" x14ac:dyDescent="0.25">
      <c r="A518" t="s">
        <v>60</v>
      </c>
      <c r="B518" t="s">
        <v>55</v>
      </c>
      <c r="C518">
        <v>116031596</v>
      </c>
    </row>
    <row r="519" spans="1:3" x14ac:dyDescent="0.25">
      <c r="A519" t="s">
        <v>67</v>
      </c>
      <c r="B519" t="s">
        <v>55</v>
      </c>
      <c r="C519">
        <v>296571952</v>
      </c>
    </row>
    <row r="520" spans="1:3" x14ac:dyDescent="0.25">
      <c r="A520" t="s">
        <v>63</v>
      </c>
      <c r="B520" t="s">
        <v>55</v>
      </c>
      <c r="C520">
        <v>1510585611</v>
      </c>
    </row>
    <row r="521" spans="1:3" x14ac:dyDescent="0.25">
      <c r="A521" t="s">
        <v>64</v>
      </c>
      <c r="B521" t="s">
        <v>55</v>
      </c>
      <c r="C521">
        <v>1013177135</v>
      </c>
    </row>
    <row r="522" spans="1:3" x14ac:dyDescent="0.25">
      <c r="A522" t="s">
        <v>4</v>
      </c>
      <c r="B522" t="s">
        <v>56</v>
      </c>
      <c r="C522">
        <v>1888371230</v>
      </c>
    </row>
    <row r="523" spans="1:3" x14ac:dyDescent="0.25">
      <c r="A523" t="s">
        <v>66</v>
      </c>
      <c r="B523" t="s">
        <v>56</v>
      </c>
      <c r="C523">
        <v>436216443</v>
      </c>
    </row>
    <row r="524" spans="1:3" x14ac:dyDescent="0.25">
      <c r="A524" t="s">
        <v>65</v>
      </c>
      <c r="B524" t="s">
        <v>56</v>
      </c>
      <c r="C524">
        <v>570974244</v>
      </c>
    </row>
    <row r="525" spans="1:3" x14ac:dyDescent="0.25">
      <c r="A525" t="s">
        <v>62</v>
      </c>
      <c r="B525" t="s">
        <v>56</v>
      </c>
      <c r="C525">
        <v>1801445799</v>
      </c>
    </row>
    <row r="526" spans="1:3" x14ac:dyDescent="0.25">
      <c r="A526" t="s">
        <v>68</v>
      </c>
      <c r="B526" t="s">
        <v>56</v>
      </c>
      <c r="C526">
        <v>196495928</v>
      </c>
    </row>
    <row r="527" spans="1:3" x14ac:dyDescent="0.25">
      <c r="A527" t="s">
        <v>61</v>
      </c>
      <c r="B527" t="s">
        <v>56</v>
      </c>
      <c r="C527">
        <v>164374130</v>
      </c>
    </row>
    <row r="528" spans="1:3" x14ac:dyDescent="0.25">
      <c r="A528" t="s">
        <v>60</v>
      </c>
      <c r="B528" t="s">
        <v>56</v>
      </c>
      <c r="C528">
        <v>144039520</v>
      </c>
    </row>
    <row r="529" spans="1:3" x14ac:dyDescent="0.25">
      <c r="A529" t="s">
        <v>67</v>
      </c>
      <c r="B529" t="s">
        <v>56</v>
      </c>
      <c r="C529">
        <v>368584859</v>
      </c>
    </row>
    <row r="530" spans="1:3" x14ac:dyDescent="0.25">
      <c r="A530" t="s">
        <v>63</v>
      </c>
      <c r="B530" t="s">
        <v>56</v>
      </c>
      <c r="C530">
        <v>1764219818</v>
      </c>
    </row>
    <row r="531" spans="1:3" x14ac:dyDescent="0.25">
      <c r="A531" t="s">
        <v>64</v>
      </c>
      <c r="B531" t="s">
        <v>56</v>
      </c>
      <c r="C531">
        <v>953335734</v>
      </c>
    </row>
    <row r="532" spans="1:3" x14ac:dyDescent="0.25">
      <c r="A532" t="s">
        <v>4</v>
      </c>
      <c r="B532" t="s">
        <v>57</v>
      </c>
      <c r="C532">
        <v>3099591671</v>
      </c>
    </row>
    <row r="533" spans="1:3" x14ac:dyDescent="0.25">
      <c r="A533" t="s">
        <v>66</v>
      </c>
      <c r="B533" t="s">
        <v>57</v>
      </c>
      <c r="C533">
        <v>718440676</v>
      </c>
    </row>
    <row r="534" spans="1:3" x14ac:dyDescent="0.25">
      <c r="A534" t="s">
        <v>65</v>
      </c>
      <c r="B534" t="s">
        <v>57</v>
      </c>
      <c r="C534">
        <v>910333404</v>
      </c>
    </row>
    <row r="535" spans="1:3" x14ac:dyDescent="0.25">
      <c r="A535" t="s">
        <v>62</v>
      </c>
      <c r="B535" t="s">
        <v>57</v>
      </c>
      <c r="C535">
        <v>2814603886</v>
      </c>
    </row>
    <row r="536" spans="1:3" x14ac:dyDescent="0.25">
      <c r="A536" t="s">
        <v>68</v>
      </c>
      <c r="B536" t="s">
        <v>57</v>
      </c>
      <c r="C536">
        <v>311970615</v>
      </c>
    </row>
    <row r="537" spans="1:3" x14ac:dyDescent="0.25">
      <c r="A537" t="s">
        <v>61</v>
      </c>
      <c r="B537" t="s">
        <v>57</v>
      </c>
      <c r="C537">
        <v>257967087</v>
      </c>
    </row>
    <row r="538" spans="1:3" x14ac:dyDescent="0.25">
      <c r="A538" t="s">
        <v>60</v>
      </c>
      <c r="B538" t="s">
        <v>57</v>
      </c>
      <c r="C538">
        <v>217272261</v>
      </c>
    </row>
    <row r="539" spans="1:3" x14ac:dyDescent="0.25">
      <c r="A539" t="s">
        <v>67</v>
      </c>
      <c r="B539" t="s">
        <v>57</v>
      </c>
      <c r="C539">
        <v>558633111</v>
      </c>
    </row>
    <row r="540" spans="1:3" x14ac:dyDescent="0.25">
      <c r="A540" t="s">
        <v>63</v>
      </c>
      <c r="B540" t="s">
        <v>57</v>
      </c>
      <c r="C540">
        <v>3143025154</v>
      </c>
    </row>
    <row r="541" spans="1:3" x14ac:dyDescent="0.25">
      <c r="A541" t="s">
        <v>64</v>
      </c>
      <c r="B541" t="s">
        <v>57</v>
      </c>
      <c r="C541">
        <v>1563400310</v>
      </c>
    </row>
    <row r="542" spans="1:3" x14ac:dyDescent="0.25">
      <c r="A542" t="s">
        <v>4</v>
      </c>
      <c r="B542" t="s">
        <v>58</v>
      </c>
      <c r="C542">
        <v>3038963346</v>
      </c>
    </row>
    <row r="543" spans="1:3" x14ac:dyDescent="0.25">
      <c r="A543" t="s">
        <v>66</v>
      </c>
      <c r="B543" t="s">
        <v>58</v>
      </c>
      <c r="C543">
        <v>675418957</v>
      </c>
    </row>
    <row r="544" spans="1:3" x14ac:dyDescent="0.25">
      <c r="A544" t="s">
        <v>65</v>
      </c>
      <c r="B544" t="s">
        <v>58</v>
      </c>
      <c r="C544">
        <v>822400972</v>
      </c>
    </row>
    <row r="545" spans="1:3" x14ac:dyDescent="0.25">
      <c r="A545" t="s">
        <v>62</v>
      </c>
      <c r="B545" t="s">
        <v>58</v>
      </c>
      <c r="C545">
        <v>2887504915</v>
      </c>
    </row>
    <row r="546" spans="1:3" x14ac:dyDescent="0.25">
      <c r="A546" t="s">
        <v>68</v>
      </c>
      <c r="B546" t="s">
        <v>58</v>
      </c>
      <c r="C546">
        <v>286205576</v>
      </c>
    </row>
    <row r="547" spans="1:3" x14ac:dyDescent="0.25">
      <c r="A547" t="s">
        <v>61</v>
      </c>
      <c r="B547" t="s">
        <v>58</v>
      </c>
      <c r="C547">
        <v>207927066</v>
      </c>
    </row>
    <row r="548" spans="1:3" x14ac:dyDescent="0.25">
      <c r="A548" t="s">
        <v>60</v>
      </c>
      <c r="B548" t="s">
        <v>58</v>
      </c>
      <c r="C548">
        <v>218359689</v>
      </c>
    </row>
    <row r="549" spans="1:3" x14ac:dyDescent="0.25">
      <c r="A549" t="s">
        <v>67</v>
      </c>
      <c r="B549" t="s">
        <v>58</v>
      </c>
      <c r="C549">
        <v>508495732</v>
      </c>
    </row>
    <row r="550" spans="1:3" x14ac:dyDescent="0.25">
      <c r="A550" t="s">
        <v>63</v>
      </c>
      <c r="B550" t="s">
        <v>58</v>
      </c>
      <c r="C550">
        <v>3168301453</v>
      </c>
    </row>
    <row r="551" spans="1:3" x14ac:dyDescent="0.25">
      <c r="A551" t="s">
        <v>64</v>
      </c>
      <c r="B551" t="s">
        <v>58</v>
      </c>
      <c r="C551">
        <v>1664173236</v>
      </c>
    </row>
    <row r="552" spans="1:3" x14ac:dyDescent="0.25">
      <c r="A552" t="s">
        <v>4</v>
      </c>
      <c r="B552" t="s">
        <v>59</v>
      </c>
      <c r="C552">
        <v>2723071403</v>
      </c>
    </row>
    <row r="553" spans="1:3" x14ac:dyDescent="0.25">
      <c r="A553" t="s">
        <v>66</v>
      </c>
      <c r="B553" t="s">
        <v>59</v>
      </c>
      <c r="C553">
        <v>577849746</v>
      </c>
    </row>
    <row r="554" spans="1:3" x14ac:dyDescent="0.25">
      <c r="A554" t="s">
        <v>65</v>
      </c>
      <c r="B554" t="s">
        <v>59</v>
      </c>
      <c r="C554">
        <v>797531480</v>
      </c>
    </row>
    <row r="555" spans="1:3" x14ac:dyDescent="0.25">
      <c r="A555" t="s">
        <v>62</v>
      </c>
      <c r="B555" t="s">
        <v>59</v>
      </c>
      <c r="C555">
        <v>2438603809</v>
      </c>
    </row>
    <row r="556" spans="1:3" x14ac:dyDescent="0.25">
      <c r="A556" t="s">
        <v>68</v>
      </c>
      <c r="B556" t="s">
        <v>59</v>
      </c>
      <c r="C556">
        <v>285084742</v>
      </c>
    </row>
    <row r="557" spans="1:3" x14ac:dyDescent="0.25">
      <c r="A557" t="s">
        <v>61</v>
      </c>
      <c r="B557" t="s">
        <v>59</v>
      </c>
      <c r="C557">
        <v>184985095</v>
      </c>
    </row>
    <row r="558" spans="1:3" x14ac:dyDescent="0.25">
      <c r="A558" t="s">
        <v>60</v>
      </c>
      <c r="B558" t="s">
        <v>59</v>
      </c>
      <c r="C558">
        <v>205303799</v>
      </c>
    </row>
    <row r="559" spans="1:3" x14ac:dyDescent="0.25">
      <c r="A559" t="s">
        <v>67</v>
      </c>
      <c r="B559" t="s">
        <v>59</v>
      </c>
      <c r="C559">
        <v>494255264</v>
      </c>
    </row>
    <row r="560" spans="1:3" x14ac:dyDescent="0.25">
      <c r="A560" t="s">
        <v>63</v>
      </c>
      <c r="B560" t="s">
        <v>59</v>
      </c>
      <c r="C560">
        <v>2805990251</v>
      </c>
    </row>
    <row r="561" spans="1:3" x14ac:dyDescent="0.25">
      <c r="A561" t="s">
        <v>64</v>
      </c>
      <c r="B561" t="s">
        <v>59</v>
      </c>
      <c r="C561">
        <v>1514713785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A65CB-027C-42DF-B14E-D03E574BC601}">
  <dimension ref="A1:C561"/>
  <sheetViews>
    <sheetView workbookViewId="0"/>
  </sheetViews>
  <sheetFormatPr defaultRowHeight="15" x14ac:dyDescent="0.25"/>
  <cols>
    <col min="1" max="1" width="17.42578125" bestFit="1" customWidth="1"/>
    <col min="2" max="2" width="15" bestFit="1" customWidth="1"/>
    <col min="3" max="3" width="19.7109375" bestFit="1" customWidth="1"/>
  </cols>
  <sheetData>
    <row r="1" spans="1:3" x14ac:dyDescent="0.25">
      <c r="A1" t="s">
        <v>1</v>
      </c>
      <c r="B1" t="s">
        <v>0</v>
      </c>
      <c r="C1" t="s">
        <v>71</v>
      </c>
    </row>
    <row r="2" spans="1:3" x14ac:dyDescent="0.25">
      <c r="A2" t="s">
        <v>4</v>
      </c>
      <c r="B2" t="s">
        <v>50</v>
      </c>
      <c r="C2">
        <v>-4945286.6999999993</v>
      </c>
    </row>
    <row r="3" spans="1:3" x14ac:dyDescent="0.25">
      <c r="A3" t="s">
        <v>4</v>
      </c>
      <c r="B3" t="s">
        <v>49</v>
      </c>
      <c r="C3">
        <v>-4459137.8199999994</v>
      </c>
    </row>
    <row r="4" spans="1:3" x14ac:dyDescent="0.25">
      <c r="A4" t="s">
        <v>62</v>
      </c>
      <c r="B4" t="s">
        <v>49</v>
      </c>
      <c r="C4">
        <v>-3517502</v>
      </c>
    </row>
    <row r="5" spans="1:3" x14ac:dyDescent="0.25">
      <c r="A5" t="s">
        <v>64</v>
      </c>
      <c r="B5" t="s">
        <v>50</v>
      </c>
      <c r="C5">
        <v>-2658234</v>
      </c>
    </row>
    <row r="6" spans="1:3" x14ac:dyDescent="0.25">
      <c r="A6" t="s">
        <v>4</v>
      </c>
      <c r="B6" t="s">
        <v>52</v>
      </c>
      <c r="C6">
        <v>-3439576.1599999997</v>
      </c>
    </row>
    <row r="7" spans="1:3" x14ac:dyDescent="0.25">
      <c r="A7" t="s">
        <v>64</v>
      </c>
      <c r="B7" t="s">
        <v>49</v>
      </c>
      <c r="C7">
        <v>-2217663</v>
      </c>
    </row>
    <row r="8" spans="1:3" x14ac:dyDescent="0.25">
      <c r="A8" t="s">
        <v>63</v>
      </c>
      <c r="B8" t="s">
        <v>49</v>
      </c>
      <c r="C8">
        <v>-3225521.2300000004</v>
      </c>
    </row>
    <row r="9" spans="1:3" x14ac:dyDescent="0.25">
      <c r="A9" t="s">
        <v>63</v>
      </c>
      <c r="B9" t="s">
        <v>50</v>
      </c>
      <c r="C9">
        <v>-3108526.93</v>
      </c>
    </row>
    <row r="10" spans="1:3" x14ac:dyDescent="0.25">
      <c r="A10" t="s">
        <v>4</v>
      </c>
      <c r="B10" t="s">
        <v>48</v>
      </c>
      <c r="C10">
        <v>-2535836.1700000004</v>
      </c>
    </row>
    <row r="11" spans="1:3" x14ac:dyDescent="0.25">
      <c r="A11" t="s">
        <v>63</v>
      </c>
      <c r="B11" t="s">
        <v>52</v>
      </c>
      <c r="C11">
        <v>-3190117.3200000003</v>
      </c>
    </row>
    <row r="12" spans="1:3" x14ac:dyDescent="0.25">
      <c r="A12" t="s">
        <v>62</v>
      </c>
      <c r="B12" t="s">
        <v>50</v>
      </c>
      <c r="C12">
        <v>-2292385</v>
      </c>
    </row>
    <row r="13" spans="1:3" x14ac:dyDescent="0.25">
      <c r="A13" t="s">
        <v>4</v>
      </c>
      <c r="B13" t="s">
        <v>51</v>
      </c>
      <c r="C13">
        <v>-2438663.1300000004</v>
      </c>
    </row>
    <row r="14" spans="1:3" x14ac:dyDescent="0.25">
      <c r="A14" t="s">
        <v>62</v>
      </c>
      <c r="B14" t="s">
        <v>52</v>
      </c>
      <c r="C14">
        <v>-2494911</v>
      </c>
    </row>
    <row r="15" spans="1:3" x14ac:dyDescent="0.25">
      <c r="A15" t="s">
        <v>63</v>
      </c>
      <c r="B15" t="s">
        <v>51</v>
      </c>
      <c r="C15">
        <v>-2586930.4700000002</v>
      </c>
    </row>
    <row r="16" spans="1:3" x14ac:dyDescent="0.25">
      <c r="A16" t="s">
        <v>62</v>
      </c>
      <c r="B16" t="s">
        <v>51</v>
      </c>
      <c r="C16">
        <v>-1736877</v>
      </c>
    </row>
    <row r="17" spans="1:3" x14ac:dyDescent="0.25">
      <c r="A17" t="s">
        <v>64</v>
      </c>
      <c r="B17" t="s">
        <v>51</v>
      </c>
      <c r="C17">
        <v>-1168470</v>
      </c>
    </row>
    <row r="18" spans="1:3" x14ac:dyDescent="0.25">
      <c r="A18" t="s">
        <v>64</v>
      </c>
      <c r="B18" t="s">
        <v>52</v>
      </c>
      <c r="C18">
        <v>-1017151</v>
      </c>
    </row>
    <row r="19" spans="1:3" x14ac:dyDescent="0.25">
      <c r="A19" t="s">
        <v>66</v>
      </c>
      <c r="B19" t="s">
        <v>50</v>
      </c>
      <c r="C19">
        <v>-985565</v>
      </c>
    </row>
    <row r="20" spans="1:3" x14ac:dyDescent="0.25">
      <c r="A20" t="s">
        <v>4</v>
      </c>
      <c r="B20" t="s">
        <v>56</v>
      </c>
      <c r="C20">
        <v>-1695175.88</v>
      </c>
    </row>
    <row r="21" spans="1:3" x14ac:dyDescent="0.25">
      <c r="A21" t="s">
        <v>63</v>
      </c>
      <c r="B21" t="s">
        <v>56</v>
      </c>
      <c r="C21">
        <v>-1375235.78</v>
      </c>
    </row>
    <row r="22" spans="1:3" x14ac:dyDescent="0.25">
      <c r="A22" t="s">
        <v>65</v>
      </c>
      <c r="B22" t="s">
        <v>49</v>
      </c>
      <c r="C22">
        <v>-714045.58000000007</v>
      </c>
    </row>
    <row r="23" spans="1:3" x14ac:dyDescent="0.25">
      <c r="A23" t="s">
        <v>63</v>
      </c>
      <c r="B23" t="s">
        <v>53</v>
      </c>
      <c r="C23">
        <v>-1348832.51</v>
      </c>
    </row>
    <row r="24" spans="1:3" x14ac:dyDescent="0.25">
      <c r="A24" t="s">
        <v>66</v>
      </c>
      <c r="B24" t="s">
        <v>49</v>
      </c>
      <c r="C24">
        <v>-666145</v>
      </c>
    </row>
    <row r="25" spans="1:3" x14ac:dyDescent="0.25">
      <c r="A25" t="s">
        <v>4</v>
      </c>
      <c r="B25" t="s">
        <v>15</v>
      </c>
      <c r="C25">
        <v>-797426</v>
      </c>
    </row>
    <row r="26" spans="1:3" x14ac:dyDescent="0.25">
      <c r="A26" t="s">
        <v>65</v>
      </c>
      <c r="B26" t="s">
        <v>50</v>
      </c>
      <c r="C26">
        <v>-685253.39</v>
      </c>
    </row>
    <row r="27" spans="1:3" x14ac:dyDescent="0.25">
      <c r="A27" t="s">
        <v>63</v>
      </c>
      <c r="B27" t="s">
        <v>48</v>
      </c>
      <c r="C27">
        <v>-971679.08</v>
      </c>
    </row>
    <row r="28" spans="1:3" x14ac:dyDescent="0.25">
      <c r="A28" t="s">
        <v>66</v>
      </c>
      <c r="B28" t="s">
        <v>51</v>
      </c>
      <c r="C28">
        <v>-646730</v>
      </c>
    </row>
    <row r="29" spans="1:3" x14ac:dyDescent="0.25">
      <c r="A29" t="s">
        <v>66</v>
      </c>
      <c r="B29" t="s">
        <v>52</v>
      </c>
      <c r="C29">
        <v>-611230</v>
      </c>
    </row>
    <row r="30" spans="1:3" x14ac:dyDescent="0.25">
      <c r="A30" t="s">
        <v>62</v>
      </c>
      <c r="B30" t="s">
        <v>56</v>
      </c>
      <c r="C30">
        <v>-684114</v>
      </c>
    </row>
    <row r="31" spans="1:3" x14ac:dyDescent="0.25">
      <c r="A31" t="s">
        <v>65</v>
      </c>
      <c r="B31" t="s">
        <v>51</v>
      </c>
      <c r="C31">
        <v>-488925.72</v>
      </c>
    </row>
    <row r="32" spans="1:3" x14ac:dyDescent="0.25">
      <c r="A32" t="s">
        <v>65</v>
      </c>
      <c r="B32" t="s">
        <v>52</v>
      </c>
      <c r="C32">
        <v>-581293.87</v>
      </c>
    </row>
    <row r="33" spans="1:3" x14ac:dyDescent="0.25">
      <c r="A33" t="s">
        <v>4</v>
      </c>
      <c r="B33" t="s">
        <v>53</v>
      </c>
      <c r="C33">
        <v>-1015902.15</v>
      </c>
    </row>
    <row r="34" spans="1:3" x14ac:dyDescent="0.25">
      <c r="A34" t="s">
        <v>62</v>
      </c>
      <c r="B34" t="s">
        <v>53</v>
      </c>
      <c r="C34">
        <v>-534558</v>
      </c>
    </row>
    <row r="35" spans="1:3" x14ac:dyDescent="0.25">
      <c r="A35" t="s">
        <v>62</v>
      </c>
      <c r="B35" t="s">
        <v>48</v>
      </c>
      <c r="C35">
        <v>-326044</v>
      </c>
    </row>
    <row r="36" spans="1:3" x14ac:dyDescent="0.25">
      <c r="A36" t="s">
        <v>4</v>
      </c>
      <c r="B36" t="s">
        <v>55</v>
      </c>
      <c r="C36">
        <v>-778948.54999999993</v>
      </c>
    </row>
    <row r="37" spans="1:3" x14ac:dyDescent="0.25">
      <c r="A37" t="s">
        <v>64</v>
      </c>
      <c r="B37" t="s">
        <v>59</v>
      </c>
      <c r="C37">
        <v>-385541</v>
      </c>
    </row>
    <row r="38" spans="1:3" x14ac:dyDescent="0.25">
      <c r="A38" t="s">
        <v>4</v>
      </c>
      <c r="B38" t="s">
        <v>7</v>
      </c>
      <c r="C38">
        <v>-430899</v>
      </c>
    </row>
    <row r="39" spans="1:3" x14ac:dyDescent="0.25">
      <c r="A39" t="s">
        <v>63</v>
      </c>
      <c r="B39" t="s">
        <v>55</v>
      </c>
      <c r="C39">
        <v>-407185.65</v>
      </c>
    </row>
    <row r="40" spans="1:3" x14ac:dyDescent="0.25">
      <c r="A40" t="s">
        <v>4</v>
      </c>
      <c r="B40" t="s">
        <v>12</v>
      </c>
      <c r="C40">
        <v>-265694.14</v>
      </c>
    </row>
    <row r="41" spans="1:3" x14ac:dyDescent="0.25">
      <c r="A41" t="s">
        <v>67</v>
      </c>
      <c r="B41" t="s">
        <v>49</v>
      </c>
      <c r="C41">
        <v>-342294.81</v>
      </c>
    </row>
    <row r="42" spans="1:3" x14ac:dyDescent="0.25">
      <c r="A42" t="s">
        <v>63</v>
      </c>
      <c r="B42" t="s">
        <v>19</v>
      </c>
      <c r="C42">
        <v>-455535.95999999996</v>
      </c>
    </row>
    <row r="43" spans="1:3" x14ac:dyDescent="0.25">
      <c r="A43" t="s">
        <v>4</v>
      </c>
      <c r="B43" t="s">
        <v>54</v>
      </c>
      <c r="C43">
        <v>-426907.41</v>
      </c>
    </row>
    <row r="44" spans="1:3" x14ac:dyDescent="0.25">
      <c r="A44" t="s">
        <v>63</v>
      </c>
      <c r="B44" t="s">
        <v>24</v>
      </c>
      <c r="C44">
        <v>-340694.86</v>
      </c>
    </row>
    <row r="45" spans="1:3" x14ac:dyDescent="0.25">
      <c r="A45" t="s">
        <v>4</v>
      </c>
      <c r="B45" t="s">
        <v>57</v>
      </c>
      <c r="C45">
        <v>1034485.2000000001</v>
      </c>
    </row>
    <row r="46" spans="1:3" x14ac:dyDescent="0.25">
      <c r="A46" t="s">
        <v>65</v>
      </c>
      <c r="B46" t="s">
        <v>56</v>
      </c>
      <c r="C46">
        <v>-369175.38</v>
      </c>
    </row>
    <row r="47" spans="1:3" x14ac:dyDescent="0.25">
      <c r="A47" t="s">
        <v>62</v>
      </c>
      <c r="B47" t="s">
        <v>27</v>
      </c>
      <c r="C47">
        <v>-772361</v>
      </c>
    </row>
    <row r="48" spans="1:3" x14ac:dyDescent="0.25">
      <c r="A48" t="s">
        <v>67</v>
      </c>
      <c r="B48" t="s">
        <v>59</v>
      </c>
      <c r="C48">
        <v>-305729.46000000002</v>
      </c>
    </row>
    <row r="49" spans="1:3" x14ac:dyDescent="0.25">
      <c r="A49" t="s">
        <v>4</v>
      </c>
      <c r="B49" t="s">
        <v>8</v>
      </c>
      <c r="C49">
        <v>-321986</v>
      </c>
    </row>
    <row r="50" spans="1:3" x14ac:dyDescent="0.25">
      <c r="A50" t="s">
        <v>67</v>
      </c>
      <c r="B50" t="s">
        <v>52</v>
      </c>
      <c r="C50">
        <v>-280283.78999999998</v>
      </c>
    </row>
    <row r="51" spans="1:3" x14ac:dyDescent="0.25">
      <c r="A51" t="s">
        <v>63</v>
      </c>
      <c r="B51" t="s">
        <v>15</v>
      </c>
      <c r="C51">
        <v>-134214.82</v>
      </c>
    </row>
    <row r="52" spans="1:3" x14ac:dyDescent="0.25">
      <c r="A52" t="s">
        <v>66</v>
      </c>
      <c r="B52" t="s">
        <v>56</v>
      </c>
      <c r="C52">
        <v>-273161</v>
      </c>
    </row>
    <row r="53" spans="1:3" x14ac:dyDescent="0.25">
      <c r="A53" t="s">
        <v>4</v>
      </c>
      <c r="B53" t="s">
        <v>6</v>
      </c>
      <c r="C53">
        <v>-245897</v>
      </c>
    </row>
    <row r="54" spans="1:3" x14ac:dyDescent="0.25">
      <c r="A54" t="s">
        <v>67</v>
      </c>
      <c r="B54" t="s">
        <v>50</v>
      </c>
      <c r="C54">
        <v>-250132.41999999998</v>
      </c>
    </row>
    <row r="55" spans="1:3" x14ac:dyDescent="0.25">
      <c r="A55" t="s">
        <v>66</v>
      </c>
      <c r="B55" t="s">
        <v>48</v>
      </c>
      <c r="C55">
        <v>-256903</v>
      </c>
    </row>
    <row r="56" spans="1:3" x14ac:dyDescent="0.25">
      <c r="A56" t="s">
        <v>62</v>
      </c>
      <c r="B56" t="s">
        <v>3</v>
      </c>
      <c r="C56">
        <v>-337084</v>
      </c>
    </row>
    <row r="57" spans="1:3" x14ac:dyDescent="0.25">
      <c r="A57" t="s">
        <v>60</v>
      </c>
      <c r="B57" t="s">
        <v>50</v>
      </c>
      <c r="C57">
        <v>-249978.86</v>
      </c>
    </row>
    <row r="58" spans="1:3" x14ac:dyDescent="0.25">
      <c r="A58" t="s">
        <v>62</v>
      </c>
      <c r="B58" t="s">
        <v>12</v>
      </c>
      <c r="C58">
        <v>-74431</v>
      </c>
    </row>
    <row r="59" spans="1:3" x14ac:dyDescent="0.25">
      <c r="A59" t="s">
        <v>60</v>
      </c>
      <c r="B59" t="s">
        <v>49</v>
      </c>
      <c r="C59">
        <v>-222458.53999999998</v>
      </c>
    </row>
    <row r="60" spans="1:3" x14ac:dyDescent="0.25">
      <c r="A60" t="s">
        <v>4</v>
      </c>
      <c r="B60" t="s">
        <v>3</v>
      </c>
      <c r="C60">
        <v>-226645</v>
      </c>
    </row>
    <row r="61" spans="1:3" x14ac:dyDescent="0.25">
      <c r="A61" t="s">
        <v>63</v>
      </c>
      <c r="B61" t="s">
        <v>16</v>
      </c>
      <c r="C61">
        <v>-266536.36</v>
      </c>
    </row>
    <row r="62" spans="1:3" x14ac:dyDescent="0.25">
      <c r="A62" t="s">
        <v>4</v>
      </c>
      <c r="B62" t="s">
        <v>59</v>
      </c>
      <c r="C62">
        <v>1379327.4100000001</v>
      </c>
    </row>
    <row r="63" spans="1:3" x14ac:dyDescent="0.25">
      <c r="A63" t="s">
        <v>68</v>
      </c>
      <c r="B63" t="s">
        <v>52</v>
      </c>
      <c r="C63">
        <v>-216406.79</v>
      </c>
    </row>
    <row r="64" spans="1:3" x14ac:dyDescent="0.25">
      <c r="A64" t="s">
        <v>60</v>
      </c>
      <c r="B64" t="s">
        <v>52</v>
      </c>
      <c r="C64">
        <v>-218999.76</v>
      </c>
    </row>
    <row r="65" spans="1:3" x14ac:dyDescent="0.25">
      <c r="A65" t="s">
        <v>61</v>
      </c>
      <c r="B65" t="s">
        <v>49</v>
      </c>
      <c r="C65">
        <v>-182057.84</v>
      </c>
    </row>
    <row r="66" spans="1:3" x14ac:dyDescent="0.25">
      <c r="A66" t="s">
        <v>67</v>
      </c>
      <c r="B66" t="s">
        <v>56</v>
      </c>
      <c r="C66">
        <v>-211468.04</v>
      </c>
    </row>
    <row r="67" spans="1:3" x14ac:dyDescent="0.25">
      <c r="A67" t="s">
        <v>60</v>
      </c>
      <c r="B67" t="s">
        <v>51</v>
      </c>
      <c r="C67">
        <v>-202884.08</v>
      </c>
    </row>
    <row r="68" spans="1:3" x14ac:dyDescent="0.25">
      <c r="A68" t="s">
        <v>68</v>
      </c>
      <c r="B68" t="s">
        <v>51</v>
      </c>
      <c r="C68">
        <v>-183547.14</v>
      </c>
    </row>
    <row r="69" spans="1:3" x14ac:dyDescent="0.25">
      <c r="A69" t="s">
        <v>63</v>
      </c>
      <c r="B69" t="s">
        <v>20</v>
      </c>
      <c r="C69">
        <v>-259884</v>
      </c>
    </row>
    <row r="70" spans="1:3" x14ac:dyDescent="0.25">
      <c r="A70" t="s">
        <v>68</v>
      </c>
      <c r="B70" t="s">
        <v>50</v>
      </c>
      <c r="C70">
        <v>-171881.19999999998</v>
      </c>
    </row>
    <row r="71" spans="1:3" x14ac:dyDescent="0.25">
      <c r="A71" t="s">
        <v>65</v>
      </c>
      <c r="B71" t="s">
        <v>53</v>
      </c>
      <c r="C71">
        <v>-209350.62</v>
      </c>
    </row>
    <row r="72" spans="1:3" x14ac:dyDescent="0.25">
      <c r="A72" t="s">
        <v>4</v>
      </c>
      <c r="B72" t="s">
        <v>13</v>
      </c>
      <c r="C72">
        <v>-116484</v>
      </c>
    </row>
    <row r="73" spans="1:3" x14ac:dyDescent="0.25">
      <c r="A73" t="s">
        <v>4</v>
      </c>
      <c r="B73" t="s">
        <v>18</v>
      </c>
      <c r="C73">
        <v>26537</v>
      </c>
    </row>
    <row r="74" spans="1:3" x14ac:dyDescent="0.25">
      <c r="A74" t="s">
        <v>4</v>
      </c>
      <c r="B74" t="s">
        <v>5</v>
      </c>
      <c r="C74">
        <v>-259408</v>
      </c>
    </row>
    <row r="75" spans="1:3" x14ac:dyDescent="0.25">
      <c r="A75" t="s">
        <v>62</v>
      </c>
      <c r="B75" t="s">
        <v>17</v>
      </c>
      <c r="C75">
        <v>337484</v>
      </c>
    </row>
    <row r="76" spans="1:3" x14ac:dyDescent="0.25">
      <c r="A76" t="s">
        <v>4</v>
      </c>
      <c r="B76" t="s">
        <v>16</v>
      </c>
      <c r="C76">
        <v>-101073</v>
      </c>
    </row>
    <row r="77" spans="1:3" x14ac:dyDescent="0.25">
      <c r="A77" t="s">
        <v>62</v>
      </c>
      <c r="B77" t="s">
        <v>5</v>
      </c>
      <c r="C77">
        <v>-159039</v>
      </c>
    </row>
    <row r="78" spans="1:3" x14ac:dyDescent="0.25">
      <c r="A78" t="s">
        <v>65</v>
      </c>
      <c r="B78" t="s">
        <v>48</v>
      </c>
      <c r="C78">
        <v>-130877.81999999999</v>
      </c>
    </row>
    <row r="79" spans="1:3" x14ac:dyDescent="0.25">
      <c r="A79" t="s">
        <v>63</v>
      </c>
      <c r="B79" t="s">
        <v>18</v>
      </c>
      <c r="C79">
        <v>194794.37000000002</v>
      </c>
    </row>
    <row r="80" spans="1:3" x14ac:dyDescent="0.25">
      <c r="A80" t="s">
        <v>64</v>
      </c>
      <c r="B80" t="s">
        <v>56</v>
      </c>
      <c r="C80">
        <v>-150924</v>
      </c>
    </row>
    <row r="81" spans="1:3" x14ac:dyDescent="0.25">
      <c r="A81" t="s">
        <v>67</v>
      </c>
      <c r="B81" t="s">
        <v>51</v>
      </c>
      <c r="C81">
        <v>-162624.28999999998</v>
      </c>
    </row>
    <row r="82" spans="1:3" x14ac:dyDescent="0.25">
      <c r="A82" t="s">
        <v>63</v>
      </c>
      <c r="B82" t="s">
        <v>3</v>
      </c>
      <c r="C82">
        <v>-135835</v>
      </c>
    </row>
    <row r="83" spans="1:3" x14ac:dyDescent="0.25">
      <c r="A83" t="s">
        <v>62</v>
      </c>
      <c r="B83" t="s">
        <v>16</v>
      </c>
      <c r="C83">
        <v>381641</v>
      </c>
    </row>
    <row r="84" spans="1:3" x14ac:dyDescent="0.25">
      <c r="A84" t="s">
        <v>4</v>
      </c>
      <c r="B84" t="s">
        <v>43</v>
      </c>
      <c r="C84">
        <v>569406.30000000005</v>
      </c>
    </row>
    <row r="85" spans="1:3" x14ac:dyDescent="0.25">
      <c r="A85" t="s">
        <v>60</v>
      </c>
      <c r="B85" t="s">
        <v>56</v>
      </c>
      <c r="C85">
        <v>-145747.16</v>
      </c>
    </row>
    <row r="86" spans="1:3" x14ac:dyDescent="0.25">
      <c r="A86" t="s">
        <v>4</v>
      </c>
      <c r="B86" t="s">
        <v>40</v>
      </c>
      <c r="C86">
        <v>447172.26</v>
      </c>
    </row>
    <row r="87" spans="1:3" x14ac:dyDescent="0.25">
      <c r="A87" t="s">
        <v>64</v>
      </c>
      <c r="B87" t="s">
        <v>53</v>
      </c>
      <c r="C87">
        <v>-130328</v>
      </c>
    </row>
    <row r="88" spans="1:3" x14ac:dyDescent="0.25">
      <c r="A88" t="s">
        <v>4</v>
      </c>
      <c r="B88" t="s">
        <v>14</v>
      </c>
      <c r="C88">
        <v>9503</v>
      </c>
    </row>
    <row r="89" spans="1:3" x14ac:dyDescent="0.25">
      <c r="A89" t="s">
        <v>4</v>
      </c>
      <c r="B89" t="s">
        <v>39</v>
      </c>
      <c r="C89">
        <v>676583.41</v>
      </c>
    </row>
    <row r="90" spans="1:3" x14ac:dyDescent="0.25">
      <c r="A90" t="s">
        <v>4</v>
      </c>
      <c r="B90" t="s">
        <v>47</v>
      </c>
      <c r="C90">
        <v>746014.71000000008</v>
      </c>
    </row>
    <row r="91" spans="1:3" x14ac:dyDescent="0.25">
      <c r="A91" t="s">
        <v>63</v>
      </c>
      <c r="B91" t="s">
        <v>57</v>
      </c>
      <c r="C91">
        <v>877920.36</v>
      </c>
    </row>
    <row r="92" spans="1:3" x14ac:dyDescent="0.25">
      <c r="A92" t="s">
        <v>68</v>
      </c>
      <c r="B92" t="s">
        <v>48</v>
      </c>
      <c r="C92">
        <v>-99036.15</v>
      </c>
    </row>
    <row r="93" spans="1:3" x14ac:dyDescent="0.25">
      <c r="A93" t="s">
        <v>61</v>
      </c>
      <c r="B93" t="s">
        <v>50</v>
      </c>
      <c r="C93">
        <v>-113499.15</v>
      </c>
    </row>
    <row r="94" spans="1:3" x14ac:dyDescent="0.25">
      <c r="A94" t="s">
        <v>62</v>
      </c>
      <c r="B94" t="s">
        <v>7</v>
      </c>
      <c r="C94">
        <v>-91765</v>
      </c>
    </row>
    <row r="95" spans="1:3" x14ac:dyDescent="0.25">
      <c r="A95" t="s">
        <v>4</v>
      </c>
      <c r="B95" t="s">
        <v>11</v>
      </c>
      <c r="C95">
        <v>23195</v>
      </c>
    </row>
    <row r="96" spans="1:3" x14ac:dyDescent="0.25">
      <c r="A96" t="s">
        <v>68</v>
      </c>
      <c r="B96" t="s">
        <v>56</v>
      </c>
      <c r="C96">
        <v>-144711.96</v>
      </c>
    </row>
    <row r="97" spans="1:3" x14ac:dyDescent="0.25">
      <c r="A97" t="s">
        <v>64</v>
      </c>
      <c r="B97" t="s">
        <v>48</v>
      </c>
      <c r="C97">
        <v>-109526</v>
      </c>
    </row>
    <row r="98" spans="1:3" x14ac:dyDescent="0.25">
      <c r="A98" t="s">
        <v>63</v>
      </c>
      <c r="B98" t="s">
        <v>36</v>
      </c>
      <c r="C98">
        <v>278363.26</v>
      </c>
    </row>
    <row r="99" spans="1:3" x14ac:dyDescent="0.25">
      <c r="A99" t="s">
        <v>4</v>
      </c>
      <c r="B99" t="s">
        <v>36</v>
      </c>
      <c r="C99">
        <v>603777.14</v>
      </c>
    </row>
    <row r="100" spans="1:3" x14ac:dyDescent="0.25">
      <c r="A100" t="s">
        <v>62</v>
      </c>
      <c r="B100" t="s">
        <v>8</v>
      </c>
      <c r="C100">
        <v>107161</v>
      </c>
    </row>
    <row r="101" spans="1:3" x14ac:dyDescent="0.25">
      <c r="A101" t="s">
        <v>62</v>
      </c>
      <c r="B101" t="s">
        <v>13</v>
      </c>
      <c r="C101">
        <v>633968</v>
      </c>
    </row>
    <row r="102" spans="1:3" x14ac:dyDescent="0.25">
      <c r="A102" t="s">
        <v>4</v>
      </c>
      <c r="B102" t="s">
        <v>45</v>
      </c>
      <c r="C102">
        <v>1127083.1400000001</v>
      </c>
    </row>
    <row r="103" spans="1:3" x14ac:dyDescent="0.25">
      <c r="A103" t="s">
        <v>4</v>
      </c>
      <c r="B103" t="s">
        <v>46</v>
      </c>
      <c r="C103">
        <v>828289.03</v>
      </c>
    </row>
    <row r="104" spans="1:3" x14ac:dyDescent="0.25">
      <c r="A104" t="s">
        <v>4</v>
      </c>
      <c r="B104" t="s">
        <v>44</v>
      </c>
      <c r="C104">
        <v>345380.54000000004</v>
      </c>
    </row>
    <row r="105" spans="1:3" x14ac:dyDescent="0.25">
      <c r="A105" t="s">
        <v>4</v>
      </c>
      <c r="B105" t="s">
        <v>42</v>
      </c>
      <c r="C105">
        <v>669382.78</v>
      </c>
    </row>
    <row r="106" spans="1:3" x14ac:dyDescent="0.25">
      <c r="A106" t="s">
        <v>4</v>
      </c>
      <c r="B106" t="s">
        <v>41</v>
      </c>
      <c r="C106">
        <v>1037383.54</v>
      </c>
    </row>
    <row r="107" spans="1:3" x14ac:dyDescent="0.25">
      <c r="A107" t="s">
        <v>65</v>
      </c>
      <c r="B107" t="s">
        <v>55</v>
      </c>
      <c r="C107">
        <v>-121522.17</v>
      </c>
    </row>
    <row r="108" spans="1:3" x14ac:dyDescent="0.25">
      <c r="A108" t="s">
        <v>60</v>
      </c>
      <c r="B108" t="s">
        <v>55</v>
      </c>
      <c r="C108">
        <v>-69723.75</v>
      </c>
    </row>
    <row r="109" spans="1:3" x14ac:dyDescent="0.25">
      <c r="A109" t="s">
        <v>60</v>
      </c>
      <c r="B109" t="s">
        <v>48</v>
      </c>
      <c r="C109">
        <v>-58680.979999999996</v>
      </c>
    </row>
    <row r="110" spans="1:3" x14ac:dyDescent="0.25">
      <c r="A110" t="s">
        <v>68</v>
      </c>
      <c r="B110" t="s">
        <v>49</v>
      </c>
      <c r="C110">
        <v>-80552.700000000012</v>
      </c>
    </row>
    <row r="111" spans="1:3" x14ac:dyDescent="0.25">
      <c r="A111" t="s">
        <v>4</v>
      </c>
      <c r="B111" t="s">
        <v>35</v>
      </c>
      <c r="C111">
        <v>791407.43</v>
      </c>
    </row>
    <row r="112" spans="1:3" x14ac:dyDescent="0.25">
      <c r="A112" t="s">
        <v>63</v>
      </c>
      <c r="B112" t="s">
        <v>47</v>
      </c>
      <c r="C112">
        <v>861703.3600000001</v>
      </c>
    </row>
    <row r="113" spans="1:3" x14ac:dyDescent="0.25">
      <c r="A113" t="s">
        <v>63</v>
      </c>
      <c r="B113" t="s">
        <v>54</v>
      </c>
      <c r="C113">
        <v>-95376.360000000015</v>
      </c>
    </row>
    <row r="114" spans="1:3" x14ac:dyDescent="0.25">
      <c r="A114" t="s">
        <v>63</v>
      </c>
      <c r="B114" t="s">
        <v>12</v>
      </c>
      <c r="C114">
        <v>9616.6500000000087</v>
      </c>
    </row>
    <row r="115" spans="1:3" x14ac:dyDescent="0.25">
      <c r="A115" t="s">
        <v>62</v>
      </c>
      <c r="B115" t="s">
        <v>6</v>
      </c>
      <c r="C115">
        <v>67033</v>
      </c>
    </row>
    <row r="116" spans="1:3" x14ac:dyDescent="0.25">
      <c r="A116" t="s">
        <v>61</v>
      </c>
      <c r="B116" t="s">
        <v>52</v>
      </c>
      <c r="C116">
        <v>-74731.03</v>
      </c>
    </row>
    <row r="117" spans="1:3" x14ac:dyDescent="0.25">
      <c r="A117" t="s">
        <v>4</v>
      </c>
      <c r="B117" t="s">
        <v>20</v>
      </c>
      <c r="C117">
        <v>46978</v>
      </c>
    </row>
    <row r="118" spans="1:3" x14ac:dyDescent="0.25">
      <c r="A118" t="s">
        <v>4</v>
      </c>
      <c r="B118" t="s">
        <v>23</v>
      </c>
      <c r="C118">
        <v>280716</v>
      </c>
    </row>
    <row r="119" spans="1:3" x14ac:dyDescent="0.25">
      <c r="A119" t="s">
        <v>60</v>
      </c>
      <c r="B119" t="s">
        <v>13</v>
      </c>
      <c r="C119">
        <v>-69033.75</v>
      </c>
    </row>
    <row r="120" spans="1:3" x14ac:dyDescent="0.25">
      <c r="A120" t="s">
        <v>4</v>
      </c>
      <c r="B120" t="s">
        <v>27</v>
      </c>
      <c r="C120">
        <v>344535</v>
      </c>
    </row>
    <row r="121" spans="1:3" x14ac:dyDescent="0.25">
      <c r="A121" t="s">
        <v>4</v>
      </c>
      <c r="B121" t="s">
        <v>37</v>
      </c>
      <c r="C121">
        <v>1526949.72</v>
      </c>
    </row>
    <row r="122" spans="1:3" x14ac:dyDescent="0.25">
      <c r="A122" t="s">
        <v>68</v>
      </c>
      <c r="B122" t="s">
        <v>12</v>
      </c>
      <c r="C122">
        <v>-56925.98</v>
      </c>
    </row>
    <row r="123" spans="1:3" x14ac:dyDescent="0.25">
      <c r="A123" t="s">
        <v>68</v>
      </c>
      <c r="B123" t="s">
        <v>55</v>
      </c>
      <c r="C123">
        <v>-85133.06</v>
      </c>
    </row>
    <row r="124" spans="1:3" x14ac:dyDescent="0.25">
      <c r="A124" t="s">
        <v>67</v>
      </c>
      <c r="B124" t="s">
        <v>54</v>
      </c>
      <c r="C124">
        <v>-72364.19</v>
      </c>
    </row>
    <row r="125" spans="1:3" x14ac:dyDescent="0.25">
      <c r="A125" t="s">
        <v>4</v>
      </c>
      <c r="B125" t="s">
        <v>58</v>
      </c>
      <c r="C125">
        <v>934963.19</v>
      </c>
    </row>
    <row r="126" spans="1:3" x14ac:dyDescent="0.25">
      <c r="A126" t="s">
        <v>4</v>
      </c>
      <c r="B126" t="s">
        <v>19</v>
      </c>
      <c r="C126">
        <v>-6038</v>
      </c>
    </row>
    <row r="127" spans="1:3" x14ac:dyDescent="0.25">
      <c r="A127" t="s">
        <v>68</v>
      </c>
      <c r="B127" t="s">
        <v>53</v>
      </c>
      <c r="C127">
        <v>-64128.369999999995</v>
      </c>
    </row>
    <row r="128" spans="1:3" x14ac:dyDescent="0.25">
      <c r="A128" t="s">
        <v>63</v>
      </c>
      <c r="B128" t="s">
        <v>40</v>
      </c>
      <c r="C128">
        <v>276790.70999999996</v>
      </c>
    </row>
    <row r="129" spans="1:3" x14ac:dyDescent="0.25">
      <c r="A129" t="s">
        <v>62</v>
      </c>
      <c r="B129" t="s">
        <v>24</v>
      </c>
      <c r="C129">
        <v>671904</v>
      </c>
    </row>
    <row r="130" spans="1:3" x14ac:dyDescent="0.25">
      <c r="A130" t="s">
        <v>65</v>
      </c>
      <c r="B130" t="s">
        <v>57</v>
      </c>
      <c r="C130">
        <v>-107306.14</v>
      </c>
    </row>
    <row r="131" spans="1:3" x14ac:dyDescent="0.25">
      <c r="A131" t="s">
        <v>65</v>
      </c>
      <c r="B131" t="s">
        <v>54</v>
      </c>
      <c r="C131">
        <v>394.13000000000466</v>
      </c>
    </row>
    <row r="132" spans="1:3" x14ac:dyDescent="0.25">
      <c r="A132" t="s">
        <v>60</v>
      </c>
      <c r="B132" t="s">
        <v>53</v>
      </c>
      <c r="C132">
        <v>-67047.540000000008</v>
      </c>
    </row>
    <row r="133" spans="1:3" x14ac:dyDescent="0.25">
      <c r="A133" t="s">
        <v>4</v>
      </c>
      <c r="B133" t="s">
        <v>38</v>
      </c>
      <c r="C133">
        <v>1224775.9500000002</v>
      </c>
    </row>
    <row r="134" spans="1:3" x14ac:dyDescent="0.25">
      <c r="A134" t="s">
        <v>63</v>
      </c>
      <c r="B134" t="s">
        <v>32</v>
      </c>
      <c r="C134">
        <v>649435.35</v>
      </c>
    </row>
    <row r="135" spans="1:3" x14ac:dyDescent="0.25">
      <c r="A135" t="s">
        <v>62</v>
      </c>
      <c r="B135" t="s">
        <v>23</v>
      </c>
      <c r="C135">
        <v>869555</v>
      </c>
    </row>
    <row r="136" spans="1:3" x14ac:dyDescent="0.25">
      <c r="A136" t="s">
        <v>67</v>
      </c>
      <c r="B136" t="s">
        <v>48</v>
      </c>
      <c r="C136">
        <v>-57991.979999999996</v>
      </c>
    </row>
    <row r="137" spans="1:3" x14ac:dyDescent="0.25">
      <c r="A137" t="s">
        <v>67</v>
      </c>
      <c r="B137" t="s">
        <v>55</v>
      </c>
      <c r="C137">
        <v>-61549.68</v>
      </c>
    </row>
    <row r="138" spans="1:3" x14ac:dyDescent="0.25">
      <c r="A138" t="s">
        <v>62</v>
      </c>
      <c r="B138" t="s">
        <v>11</v>
      </c>
      <c r="C138">
        <v>390405</v>
      </c>
    </row>
    <row r="139" spans="1:3" x14ac:dyDescent="0.25">
      <c r="A139" t="s">
        <v>64</v>
      </c>
      <c r="B139" t="s">
        <v>3</v>
      </c>
      <c r="C139">
        <v>-49950</v>
      </c>
    </row>
    <row r="140" spans="1:3" x14ac:dyDescent="0.25">
      <c r="A140" t="s">
        <v>4</v>
      </c>
      <c r="B140" t="s">
        <v>21</v>
      </c>
      <c r="C140">
        <v>478048</v>
      </c>
    </row>
    <row r="141" spans="1:3" x14ac:dyDescent="0.25">
      <c r="A141" t="s">
        <v>62</v>
      </c>
      <c r="B141" t="s">
        <v>26</v>
      </c>
      <c r="C141">
        <v>1409299</v>
      </c>
    </row>
    <row r="142" spans="1:3" x14ac:dyDescent="0.25">
      <c r="A142" t="s">
        <v>68</v>
      </c>
      <c r="B142" t="s">
        <v>13</v>
      </c>
      <c r="C142">
        <v>-36144.69</v>
      </c>
    </row>
    <row r="143" spans="1:3" x14ac:dyDescent="0.25">
      <c r="A143" t="s">
        <v>4</v>
      </c>
      <c r="B143" t="s">
        <v>22</v>
      </c>
      <c r="C143">
        <v>682591</v>
      </c>
    </row>
    <row r="144" spans="1:3" x14ac:dyDescent="0.25">
      <c r="A144" t="s">
        <v>63</v>
      </c>
      <c r="B144" t="s">
        <v>11</v>
      </c>
      <c r="C144">
        <v>83410</v>
      </c>
    </row>
    <row r="145" spans="1:3" x14ac:dyDescent="0.25">
      <c r="A145" t="s">
        <v>65</v>
      </c>
      <c r="B145" t="s">
        <v>24</v>
      </c>
      <c r="C145">
        <v>43411.23</v>
      </c>
    </row>
    <row r="146" spans="1:3" x14ac:dyDescent="0.25">
      <c r="A146" t="s">
        <v>68</v>
      </c>
      <c r="B146" t="s">
        <v>20</v>
      </c>
      <c r="C146">
        <v>-26975.19</v>
      </c>
    </row>
    <row r="147" spans="1:3" x14ac:dyDescent="0.25">
      <c r="A147" t="s">
        <v>4</v>
      </c>
      <c r="B147" t="s">
        <v>24</v>
      </c>
      <c r="C147">
        <v>577408</v>
      </c>
    </row>
    <row r="148" spans="1:3" x14ac:dyDescent="0.25">
      <c r="A148" t="s">
        <v>4</v>
      </c>
      <c r="B148" t="s">
        <v>17</v>
      </c>
      <c r="C148">
        <v>121736</v>
      </c>
    </row>
    <row r="149" spans="1:3" x14ac:dyDescent="0.25">
      <c r="A149" t="s">
        <v>67</v>
      </c>
      <c r="B149" t="s">
        <v>57</v>
      </c>
      <c r="C149">
        <v>-45330.3</v>
      </c>
    </row>
    <row r="150" spans="1:3" x14ac:dyDescent="0.25">
      <c r="A150" t="s">
        <v>63</v>
      </c>
      <c r="B150" t="s">
        <v>7</v>
      </c>
      <c r="C150">
        <v>81644</v>
      </c>
    </row>
    <row r="151" spans="1:3" x14ac:dyDescent="0.25">
      <c r="A151" t="s">
        <v>60</v>
      </c>
      <c r="B151" t="s">
        <v>59</v>
      </c>
      <c r="C151">
        <v>-18279.23</v>
      </c>
    </row>
    <row r="152" spans="1:3" x14ac:dyDescent="0.25">
      <c r="A152" t="s">
        <v>63</v>
      </c>
      <c r="B152" t="s">
        <v>8</v>
      </c>
      <c r="C152">
        <v>94503</v>
      </c>
    </row>
    <row r="153" spans="1:3" x14ac:dyDescent="0.25">
      <c r="A153" t="s">
        <v>60</v>
      </c>
      <c r="B153" t="s">
        <v>23</v>
      </c>
      <c r="C153">
        <v>34335.110000000008</v>
      </c>
    </row>
    <row r="154" spans="1:3" x14ac:dyDescent="0.25">
      <c r="A154" t="s">
        <v>67</v>
      </c>
      <c r="B154" t="s">
        <v>40</v>
      </c>
      <c r="C154">
        <v>-38796.75</v>
      </c>
    </row>
    <row r="155" spans="1:3" x14ac:dyDescent="0.25">
      <c r="A155" t="s">
        <v>66</v>
      </c>
      <c r="B155" t="s">
        <v>53</v>
      </c>
      <c r="C155">
        <v>-42512</v>
      </c>
    </row>
    <row r="156" spans="1:3" x14ac:dyDescent="0.25">
      <c r="A156" t="s">
        <v>66</v>
      </c>
      <c r="B156" t="s">
        <v>8</v>
      </c>
      <c r="C156">
        <v>38000</v>
      </c>
    </row>
    <row r="157" spans="1:3" x14ac:dyDescent="0.25">
      <c r="A157" t="s">
        <v>68</v>
      </c>
      <c r="B157" t="s">
        <v>43</v>
      </c>
      <c r="C157">
        <v>-32846.979999999996</v>
      </c>
    </row>
    <row r="158" spans="1:3" x14ac:dyDescent="0.25">
      <c r="A158" t="s">
        <v>67</v>
      </c>
      <c r="B158" t="s">
        <v>58</v>
      </c>
      <c r="C158">
        <v>-36389.199999999997</v>
      </c>
    </row>
    <row r="159" spans="1:3" x14ac:dyDescent="0.25">
      <c r="A159" t="s">
        <v>4</v>
      </c>
      <c r="B159" t="s">
        <v>25</v>
      </c>
      <c r="C159">
        <v>718119</v>
      </c>
    </row>
    <row r="160" spans="1:3" x14ac:dyDescent="0.25">
      <c r="A160" t="s">
        <v>60</v>
      </c>
      <c r="B160" t="s">
        <v>24</v>
      </c>
      <c r="C160">
        <v>11636.749999999996</v>
      </c>
    </row>
    <row r="161" spans="1:3" x14ac:dyDescent="0.25">
      <c r="A161" t="s">
        <v>62</v>
      </c>
      <c r="B161" t="s">
        <v>25</v>
      </c>
      <c r="C161">
        <v>1615666</v>
      </c>
    </row>
    <row r="162" spans="1:3" x14ac:dyDescent="0.25">
      <c r="A162" t="s">
        <v>64</v>
      </c>
      <c r="B162" t="s">
        <v>54</v>
      </c>
      <c r="C162">
        <v>-29593</v>
      </c>
    </row>
    <row r="163" spans="1:3" x14ac:dyDescent="0.25">
      <c r="A163" t="s">
        <v>65</v>
      </c>
      <c r="B163" t="s">
        <v>58</v>
      </c>
      <c r="C163">
        <v>140260.09</v>
      </c>
    </row>
    <row r="164" spans="1:3" x14ac:dyDescent="0.25">
      <c r="A164" t="s">
        <v>61</v>
      </c>
      <c r="B164" t="s">
        <v>51</v>
      </c>
      <c r="C164">
        <v>-28195.67</v>
      </c>
    </row>
    <row r="165" spans="1:3" x14ac:dyDescent="0.25">
      <c r="A165" t="s">
        <v>68</v>
      </c>
      <c r="B165" t="s">
        <v>54</v>
      </c>
      <c r="C165">
        <v>-28941.8</v>
      </c>
    </row>
    <row r="166" spans="1:3" x14ac:dyDescent="0.25">
      <c r="A166" t="s">
        <v>4</v>
      </c>
      <c r="B166" t="s">
        <v>34</v>
      </c>
      <c r="C166">
        <v>1432349.56</v>
      </c>
    </row>
    <row r="167" spans="1:3" x14ac:dyDescent="0.25">
      <c r="A167" t="s">
        <v>63</v>
      </c>
      <c r="B167" t="s">
        <v>43</v>
      </c>
      <c r="C167">
        <v>653144.14</v>
      </c>
    </row>
    <row r="168" spans="1:3" x14ac:dyDescent="0.25">
      <c r="A168" t="s">
        <v>68</v>
      </c>
      <c r="B168" t="s">
        <v>16</v>
      </c>
      <c r="C168">
        <v>-20041.419999999998</v>
      </c>
    </row>
    <row r="169" spans="1:3" x14ac:dyDescent="0.25">
      <c r="A169" t="s">
        <v>4</v>
      </c>
      <c r="B169" t="s">
        <v>9</v>
      </c>
      <c r="C169">
        <v>159526</v>
      </c>
    </row>
    <row r="170" spans="1:3" x14ac:dyDescent="0.25">
      <c r="A170" t="s">
        <v>62</v>
      </c>
      <c r="B170" t="s">
        <v>31</v>
      </c>
      <c r="C170">
        <v>1721657</v>
      </c>
    </row>
    <row r="171" spans="1:3" x14ac:dyDescent="0.25">
      <c r="A171" t="s">
        <v>63</v>
      </c>
      <c r="B171" t="s">
        <v>35</v>
      </c>
      <c r="C171">
        <v>1006184.22</v>
      </c>
    </row>
    <row r="172" spans="1:3" x14ac:dyDescent="0.25">
      <c r="A172" t="s">
        <v>60</v>
      </c>
      <c r="B172" t="s">
        <v>25</v>
      </c>
      <c r="C172">
        <v>54078.84</v>
      </c>
    </row>
    <row r="173" spans="1:3" x14ac:dyDescent="0.25">
      <c r="A173" t="s">
        <v>62</v>
      </c>
      <c r="B173" t="s">
        <v>21</v>
      </c>
      <c r="C173">
        <v>948977</v>
      </c>
    </row>
    <row r="174" spans="1:3" x14ac:dyDescent="0.25">
      <c r="A174" t="s">
        <v>4</v>
      </c>
      <c r="B174" t="s">
        <v>26</v>
      </c>
      <c r="C174">
        <v>697557</v>
      </c>
    </row>
    <row r="175" spans="1:3" x14ac:dyDescent="0.25">
      <c r="A175" t="s">
        <v>60</v>
      </c>
      <c r="B175" t="s">
        <v>21</v>
      </c>
      <c r="C175">
        <v>39584.990000000005</v>
      </c>
    </row>
    <row r="176" spans="1:3" x14ac:dyDescent="0.25">
      <c r="A176" t="s">
        <v>68</v>
      </c>
      <c r="B176" t="s">
        <v>8</v>
      </c>
      <c r="C176">
        <v>-21888.5</v>
      </c>
    </row>
    <row r="177" spans="1:3" x14ac:dyDescent="0.25">
      <c r="A177" t="s">
        <v>68</v>
      </c>
      <c r="B177" t="s">
        <v>15</v>
      </c>
      <c r="C177">
        <v>-20835.920000000002</v>
      </c>
    </row>
    <row r="178" spans="1:3" x14ac:dyDescent="0.25">
      <c r="A178" t="s">
        <v>60</v>
      </c>
      <c r="B178" t="s">
        <v>58</v>
      </c>
      <c r="C178">
        <v>3681.4799999999996</v>
      </c>
    </row>
    <row r="179" spans="1:3" x14ac:dyDescent="0.25">
      <c r="A179" t="s">
        <v>68</v>
      </c>
      <c r="B179" t="s">
        <v>11</v>
      </c>
      <c r="C179">
        <v>-15930.160000000002</v>
      </c>
    </row>
    <row r="180" spans="1:3" x14ac:dyDescent="0.25">
      <c r="A180" t="s">
        <v>67</v>
      </c>
      <c r="B180" t="s">
        <v>53</v>
      </c>
      <c r="C180">
        <v>-22362.27</v>
      </c>
    </row>
    <row r="181" spans="1:3" x14ac:dyDescent="0.25">
      <c r="A181" t="s">
        <v>60</v>
      </c>
      <c r="B181" t="s">
        <v>54</v>
      </c>
      <c r="C181">
        <v>-33345.879999999997</v>
      </c>
    </row>
    <row r="182" spans="1:3" x14ac:dyDescent="0.25">
      <c r="A182" t="s">
        <v>60</v>
      </c>
      <c r="B182" t="s">
        <v>20</v>
      </c>
      <c r="C182">
        <v>-12382.46</v>
      </c>
    </row>
    <row r="183" spans="1:3" x14ac:dyDescent="0.25">
      <c r="A183" t="s">
        <v>68</v>
      </c>
      <c r="B183" t="s">
        <v>57</v>
      </c>
      <c r="C183">
        <v>11426.219999999998</v>
      </c>
    </row>
    <row r="184" spans="1:3" x14ac:dyDescent="0.25">
      <c r="A184" t="s">
        <v>62</v>
      </c>
      <c r="B184" t="s">
        <v>9</v>
      </c>
      <c r="C184">
        <v>920561</v>
      </c>
    </row>
    <row r="185" spans="1:3" x14ac:dyDescent="0.25">
      <c r="A185" t="s">
        <v>60</v>
      </c>
      <c r="B185" t="s">
        <v>40</v>
      </c>
      <c r="C185">
        <v>38847.78</v>
      </c>
    </row>
    <row r="186" spans="1:3" x14ac:dyDescent="0.25">
      <c r="A186" t="s">
        <v>60</v>
      </c>
      <c r="B186" t="s">
        <v>36</v>
      </c>
      <c r="C186">
        <v>71867.049999999988</v>
      </c>
    </row>
    <row r="187" spans="1:3" x14ac:dyDescent="0.25">
      <c r="A187" t="s">
        <v>63</v>
      </c>
      <c r="B187" t="s">
        <v>39</v>
      </c>
      <c r="C187">
        <v>728842.20000000007</v>
      </c>
    </row>
    <row r="188" spans="1:3" x14ac:dyDescent="0.25">
      <c r="A188" t="s">
        <v>60</v>
      </c>
      <c r="B188" t="s">
        <v>57</v>
      </c>
      <c r="C188">
        <v>-27263.199999999997</v>
      </c>
    </row>
    <row r="189" spans="1:3" x14ac:dyDescent="0.25">
      <c r="A189" t="s">
        <v>63</v>
      </c>
      <c r="B189" t="s">
        <v>6</v>
      </c>
      <c r="C189">
        <v>130159</v>
      </c>
    </row>
    <row r="190" spans="1:3" x14ac:dyDescent="0.25">
      <c r="A190" t="s">
        <v>60</v>
      </c>
      <c r="B190" t="s">
        <v>35</v>
      </c>
      <c r="C190">
        <v>81131.179999999993</v>
      </c>
    </row>
    <row r="191" spans="1:3" x14ac:dyDescent="0.25">
      <c r="A191" t="s">
        <v>60</v>
      </c>
      <c r="B191" t="s">
        <v>33</v>
      </c>
      <c r="C191">
        <v>121457.21</v>
      </c>
    </row>
    <row r="192" spans="1:3" x14ac:dyDescent="0.25">
      <c r="A192" t="s">
        <v>68</v>
      </c>
      <c r="B192" t="s">
        <v>7</v>
      </c>
      <c r="C192">
        <v>-12589.37</v>
      </c>
    </row>
    <row r="193" spans="1:3" x14ac:dyDescent="0.25">
      <c r="A193" t="s">
        <v>63</v>
      </c>
      <c r="B193" t="s">
        <v>5</v>
      </c>
      <c r="C193">
        <v>172174</v>
      </c>
    </row>
    <row r="194" spans="1:3" x14ac:dyDescent="0.25">
      <c r="A194" t="s">
        <v>63</v>
      </c>
      <c r="B194" t="s">
        <v>37</v>
      </c>
      <c r="C194">
        <v>1399762.15</v>
      </c>
    </row>
    <row r="195" spans="1:3" x14ac:dyDescent="0.25">
      <c r="A195" t="s">
        <v>60</v>
      </c>
      <c r="B195" t="s">
        <v>12</v>
      </c>
      <c r="C195">
        <v>-3579.8599999999997</v>
      </c>
    </row>
    <row r="196" spans="1:3" x14ac:dyDescent="0.25">
      <c r="A196" t="s">
        <v>63</v>
      </c>
      <c r="B196" t="s">
        <v>33</v>
      </c>
      <c r="C196">
        <v>1060392.6299999999</v>
      </c>
    </row>
    <row r="197" spans="1:3" x14ac:dyDescent="0.25">
      <c r="A197" t="s">
        <v>60</v>
      </c>
      <c r="B197" t="s">
        <v>6</v>
      </c>
      <c r="C197">
        <v>24463.42</v>
      </c>
    </row>
    <row r="198" spans="1:3" x14ac:dyDescent="0.25">
      <c r="A198" t="s">
        <v>66</v>
      </c>
      <c r="B198" t="s">
        <v>55</v>
      </c>
      <c r="C198">
        <v>56885</v>
      </c>
    </row>
    <row r="199" spans="1:3" x14ac:dyDescent="0.25">
      <c r="A199" t="s">
        <v>60</v>
      </c>
      <c r="B199" t="s">
        <v>39</v>
      </c>
      <c r="C199">
        <v>102022.87</v>
      </c>
    </row>
    <row r="200" spans="1:3" x14ac:dyDescent="0.25">
      <c r="A200" t="s">
        <v>60</v>
      </c>
      <c r="B200" t="s">
        <v>32</v>
      </c>
      <c r="C200">
        <v>95334.569999999992</v>
      </c>
    </row>
    <row r="201" spans="1:3" x14ac:dyDescent="0.25">
      <c r="A201" t="s">
        <v>66</v>
      </c>
      <c r="B201" t="s">
        <v>59</v>
      </c>
      <c r="C201">
        <v>73734</v>
      </c>
    </row>
    <row r="202" spans="1:3" x14ac:dyDescent="0.25">
      <c r="A202" t="s">
        <v>60</v>
      </c>
      <c r="B202" t="s">
        <v>5</v>
      </c>
      <c r="C202">
        <v>32542.66</v>
      </c>
    </row>
    <row r="203" spans="1:3" x14ac:dyDescent="0.25">
      <c r="A203" t="s">
        <v>60</v>
      </c>
      <c r="B203" t="s">
        <v>3</v>
      </c>
      <c r="C203">
        <v>37056.639999999999</v>
      </c>
    </row>
    <row r="204" spans="1:3" x14ac:dyDescent="0.25">
      <c r="A204" t="s">
        <v>60</v>
      </c>
      <c r="B204" t="s">
        <v>22</v>
      </c>
      <c r="C204">
        <v>75667.66</v>
      </c>
    </row>
    <row r="205" spans="1:3" x14ac:dyDescent="0.25">
      <c r="A205" t="s">
        <v>66</v>
      </c>
      <c r="B205" t="s">
        <v>40</v>
      </c>
      <c r="C205">
        <v>14013</v>
      </c>
    </row>
    <row r="206" spans="1:3" x14ac:dyDescent="0.25">
      <c r="A206" t="s">
        <v>66</v>
      </c>
      <c r="B206" t="s">
        <v>16</v>
      </c>
      <c r="C206">
        <v>45005</v>
      </c>
    </row>
    <row r="207" spans="1:3" x14ac:dyDescent="0.25">
      <c r="A207" t="s">
        <v>60</v>
      </c>
      <c r="B207" t="s">
        <v>41</v>
      </c>
      <c r="C207">
        <v>96798.439999999988</v>
      </c>
    </row>
    <row r="208" spans="1:3" x14ac:dyDescent="0.25">
      <c r="A208" t="s">
        <v>68</v>
      </c>
      <c r="B208" t="s">
        <v>36</v>
      </c>
      <c r="C208">
        <v>-2698.0099999999993</v>
      </c>
    </row>
    <row r="209" spans="1:3" x14ac:dyDescent="0.25">
      <c r="A209" t="s">
        <v>60</v>
      </c>
      <c r="B209" t="s">
        <v>8</v>
      </c>
      <c r="C209">
        <v>6965.49</v>
      </c>
    </row>
    <row r="210" spans="1:3" x14ac:dyDescent="0.25">
      <c r="A210" t="s">
        <v>66</v>
      </c>
      <c r="B210" t="s">
        <v>44</v>
      </c>
      <c r="C210">
        <v>28323</v>
      </c>
    </row>
    <row r="211" spans="1:3" x14ac:dyDescent="0.25">
      <c r="A211" t="s">
        <v>66</v>
      </c>
      <c r="B211" t="s">
        <v>12</v>
      </c>
      <c r="C211">
        <v>46459</v>
      </c>
    </row>
    <row r="212" spans="1:3" x14ac:dyDescent="0.25">
      <c r="A212" t="s">
        <v>66</v>
      </c>
      <c r="B212" t="s">
        <v>5</v>
      </c>
      <c r="C212">
        <v>31359</v>
      </c>
    </row>
    <row r="213" spans="1:3" x14ac:dyDescent="0.25">
      <c r="A213" t="s">
        <v>68</v>
      </c>
      <c r="B213" t="s">
        <v>18</v>
      </c>
      <c r="C213">
        <v>31123.78</v>
      </c>
    </row>
    <row r="214" spans="1:3" x14ac:dyDescent="0.25">
      <c r="A214" t="s">
        <v>66</v>
      </c>
      <c r="B214" t="s">
        <v>57</v>
      </c>
      <c r="C214">
        <v>155947</v>
      </c>
    </row>
    <row r="215" spans="1:3" x14ac:dyDescent="0.25">
      <c r="A215" t="s">
        <v>63</v>
      </c>
      <c r="B215" t="s">
        <v>21</v>
      </c>
      <c r="C215">
        <v>771078.03</v>
      </c>
    </row>
    <row r="216" spans="1:3" x14ac:dyDescent="0.25">
      <c r="A216" t="s">
        <v>68</v>
      </c>
      <c r="B216" t="s">
        <v>14</v>
      </c>
      <c r="C216">
        <v>2431.3700000000003</v>
      </c>
    </row>
    <row r="217" spans="1:3" x14ac:dyDescent="0.25">
      <c r="A217" t="s">
        <v>68</v>
      </c>
      <c r="B217" t="s">
        <v>42</v>
      </c>
      <c r="C217">
        <v>35787.31</v>
      </c>
    </row>
    <row r="218" spans="1:3" x14ac:dyDescent="0.25">
      <c r="A218" t="s">
        <v>66</v>
      </c>
      <c r="B218" t="s">
        <v>7</v>
      </c>
      <c r="C218">
        <v>25648</v>
      </c>
    </row>
    <row r="219" spans="1:3" x14ac:dyDescent="0.25">
      <c r="A219" t="s">
        <v>62</v>
      </c>
      <c r="B219" t="s">
        <v>28</v>
      </c>
      <c r="C219">
        <v>1404428</v>
      </c>
    </row>
    <row r="220" spans="1:3" x14ac:dyDescent="0.25">
      <c r="A220" t="s">
        <v>60</v>
      </c>
      <c r="B220" t="s">
        <v>29</v>
      </c>
      <c r="C220">
        <v>92376.260000000009</v>
      </c>
    </row>
    <row r="221" spans="1:3" x14ac:dyDescent="0.25">
      <c r="A221" t="s">
        <v>68</v>
      </c>
      <c r="B221" t="s">
        <v>32</v>
      </c>
      <c r="C221">
        <v>62179.08</v>
      </c>
    </row>
    <row r="222" spans="1:3" x14ac:dyDescent="0.25">
      <c r="A222" t="s">
        <v>67</v>
      </c>
      <c r="B222" t="s">
        <v>9</v>
      </c>
      <c r="C222">
        <v>-2172</v>
      </c>
    </row>
    <row r="223" spans="1:3" x14ac:dyDescent="0.25">
      <c r="A223" t="s">
        <v>66</v>
      </c>
      <c r="B223" t="s">
        <v>15</v>
      </c>
      <c r="C223">
        <v>72377</v>
      </c>
    </row>
    <row r="224" spans="1:3" x14ac:dyDescent="0.25">
      <c r="A224" t="s">
        <v>68</v>
      </c>
      <c r="B224" t="s">
        <v>41</v>
      </c>
      <c r="C224">
        <v>83650.12000000001</v>
      </c>
    </row>
    <row r="225" spans="1:3" x14ac:dyDescent="0.25">
      <c r="A225" t="s">
        <v>68</v>
      </c>
      <c r="B225" t="s">
        <v>19</v>
      </c>
      <c r="C225">
        <v>2837.21</v>
      </c>
    </row>
    <row r="226" spans="1:3" x14ac:dyDescent="0.25">
      <c r="A226" t="s">
        <v>66</v>
      </c>
      <c r="B226" t="s">
        <v>20</v>
      </c>
      <c r="C226">
        <v>82473</v>
      </c>
    </row>
    <row r="227" spans="1:3" x14ac:dyDescent="0.25">
      <c r="A227" t="s">
        <v>63</v>
      </c>
      <c r="B227" t="s">
        <v>44</v>
      </c>
      <c r="C227">
        <v>495793.68000000005</v>
      </c>
    </row>
    <row r="228" spans="1:3" x14ac:dyDescent="0.25">
      <c r="A228" t="s">
        <v>68</v>
      </c>
      <c r="B228" t="s">
        <v>9</v>
      </c>
      <c r="C228">
        <v>-166.70000000000005</v>
      </c>
    </row>
    <row r="229" spans="1:3" x14ac:dyDescent="0.25">
      <c r="A229" t="s">
        <v>66</v>
      </c>
      <c r="B229" t="s">
        <v>19</v>
      </c>
      <c r="C229">
        <v>88363</v>
      </c>
    </row>
    <row r="230" spans="1:3" x14ac:dyDescent="0.25">
      <c r="A230" t="s">
        <v>66</v>
      </c>
      <c r="B230" t="s">
        <v>6</v>
      </c>
      <c r="C230">
        <v>144603</v>
      </c>
    </row>
    <row r="231" spans="1:3" x14ac:dyDescent="0.25">
      <c r="A231" t="s">
        <v>63</v>
      </c>
      <c r="B231" t="s">
        <v>41</v>
      </c>
      <c r="C231">
        <v>1160849.06</v>
      </c>
    </row>
    <row r="232" spans="1:3" x14ac:dyDescent="0.25">
      <c r="A232" t="s">
        <v>68</v>
      </c>
      <c r="B232" t="s">
        <v>35</v>
      </c>
      <c r="C232">
        <v>48631.93</v>
      </c>
    </row>
    <row r="233" spans="1:3" x14ac:dyDescent="0.25">
      <c r="A233" t="s">
        <v>66</v>
      </c>
      <c r="B233" t="s">
        <v>43</v>
      </c>
      <c r="C233">
        <v>106912</v>
      </c>
    </row>
    <row r="234" spans="1:3" x14ac:dyDescent="0.25">
      <c r="A234" t="s">
        <v>60</v>
      </c>
      <c r="B234" t="s">
        <v>7</v>
      </c>
      <c r="C234">
        <v>17178.809999999998</v>
      </c>
    </row>
    <row r="235" spans="1:3" x14ac:dyDescent="0.25">
      <c r="A235" t="s">
        <v>65</v>
      </c>
      <c r="B235" t="s">
        <v>12</v>
      </c>
      <c r="C235">
        <v>44904.240000000005</v>
      </c>
    </row>
    <row r="236" spans="1:3" x14ac:dyDescent="0.25">
      <c r="A236" t="s">
        <v>66</v>
      </c>
      <c r="B236" t="s">
        <v>58</v>
      </c>
      <c r="C236">
        <v>190180</v>
      </c>
    </row>
    <row r="237" spans="1:3" x14ac:dyDescent="0.25">
      <c r="A237" t="s">
        <v>68</v>
      </c>
      <c r="B237" t="s">
        <v>10</v>
      </c>
      <c r="C237">
        <v>17565.8</v>
      </c>
    </row>
    <row r="238" spans="1:3" x14ac:dyDescent="0.25">
      <c r="A238" t="s">
        <v>64</v>
      </c>
      <c r="B238" t="s">
        <v>18</v>
      </c>
      <c r="C238">
        <v>50733</v>
      </c>
    </row>
    <row r="239" spans="1:3" x14ac:dyDescent="0.25">
      <c r="A239" t="s">
        <v>66</v>
      </c>
      <c r="B239" t="s">
        <v>23</v>
      </c>
      <c r="C239">
        <v>131315</v>
      </c>
    </row>
    <row r="240" spans="1:3" x14ac:dyDescent="0.25">
      <c r="A240" t="s">
        <v>68</v>
      </c>
      <c r="B240" t="s">
        <v>33</v>
      </c>
      <c r="C240">
        <v>83986.15</v>
      </c>
    </row>
    <row r="241" spans="1:3" x14ac:dyDescent="0.25">
      <c r="A241" t="s">
        <v>68</v>
      </c>
      <c r="B241" t="s">
        <v>37</v>
      </c>
      <c r="C241">
        <v>110120.18999999999</v>
      </c>
    </row>
    <row r="242" spans="1:3" x14ac:dyDescent="0.25">
      <c r="A242" t="s">
        <v>68</v>
      </c>
      <c r="B242" t="s">
        <v>23</v>
      </c>
      <c r="C242">
        <v>4995.1200000000008</v>
      </c>
    </row>
    <row r="243" spans="1:3" x14ac:dyDescent="0.25">
      <c r="A243" t="s">
        <v>60</v>
      </c>
      <c r="B243" t="s">
        <v>44</v>
      </c>
      <c r="C243">
        <v>56859.96</v>
      </c>
    </row>
    <row r="244" spans="1:3" x14ac:dyDescent="0.25">
      <c r="A244" t="s">
        <v>64</v>
      </c>
      <c r="B244" t="s">
        <v>20</v>
      </c>
      <c r="C244">
        <v>70187</v>
      </c>
    </row>
    <row r="245" spans="1:3" x14ac:dyDescent="0.25">
      <c r="A245" t="s">
        <v>64</v>
      </c>
      <c r="B245" t="s">
        <v>19</v>
      </c>
      <c r="C245">
        <v>91357</v>
      </c>
    </row>
    <row r="246" spans="1:3" x14ac:dyDescent="0.25">
      <c r="A246" t="s">
        <v>66</v>
      </c>
      <c r="B246" t="s">
        <v>9</v>
      </c>
      <c r="C246">
        <v>135559</v>
      </c>
    </row>
    <row r="247" spans="1:3" x14ac:dyDescent="0.25">
      <c r="A247" t="s">
        <v>68</v>
      </c>
      <c r="B247" t="s">
        <v>6</v>
      </c>
      <c r="C247">
        <v>31054.87</v>
      </c>
    </row>
    <row r="248" spans="1:3" x14ac:dyDescent="0.25">
      <c r="A248" t="s">
        <v>68</v>
      </c>
      <c r="B248" t="s">
        <v>59</v>
      </c>
      <c r="C248">
        <v>44922.54</v>
      </c>
    </row>
    <row r="249" spans="1:3" x14ac:dyDescent="0.25">
      <c r="A249" t="s">
        <v>68</v>
      </c>
      <c r="B249" t="s">
        <v>34</v>
      </c>
      <c r="C249">
        <v>125527.89</v>
      </c>
    </row>
    <row r="250" spans="1:3" x14ac:dyDescent="0.25">
      <c r="A250" t="s">
        <v>68</v>
      </c>
      <c r="B250" t="s">
        <v>58</v>
      </c>
      <c r="C250">
        <v>42980.100000000006</v>
      </c>
    </row>
    <row r="251" spans="1:3" x14ac:dyDescent="0.25">
      <c r="A251" t="s">
        <v>66</v>
      </c>
      <c r="B251" t="s">
        <v>13</v>
      </c>
      <c r="C251">
        <v>132319</v>
      </c>
    </row>
    <row r="252" spans="1:3" x14ac:dyDescent="0.25">
      <c r="A252" t="s">
        <v>68</v>
      </c>
      <c r="B252" t="s">
        <v>31</v>
      </c>
      <c r="C252">
        <v>39802.76</v>
      </c>
    </row>
    <row r="253" spans="1:3" x14ac:dyDescent="0.25">
      <c r="A253" t="s">
        <v>62</v>
      </c>
      <c r="B253" t="s">
        <v>55</v>
      </c>
      <c r="C253">
        <v>396369</v>
      </c>
    </row>
    <row r="254" spans="1:3" x14ac:dyDescent="0.25">
      <c r="A254" t="s">
        <v>62</v>
      </c>
      <c r="B254" t="s">
        <v>22</v>
      </c>
      <c r="C254">
        <v>1696529</v>
      </c>
    </row>
    <row r="255" spans="1:3" x14ac:dyDescent="0.25">
      <c r="A255" t="s">
        <v>66</v>
      </c>
      <c r="B255" t="s">
        <v>3</v>
      </c>
      <c r="C255">
        <v>6811</v>
      </c>
    </row>
    <row r="256" spans="1:3" x14ac:dyDescent="0.25">
      <c r="A256" t="s">
        <v>60</v>
      </c>
      <c r="B256" t="s">
        <v>11</v>
      </c>
      <c r="C256">
        <v>23026.5</v>
      </c>
    </row>
    <row r="257" spans="1:3" x14ac:dyDescent="0.25">
      <c r="A257" t="s">
        <v>62</v>
      </c>
      <c r="B257" t="s">
        <v>14</v>
      </c>
      <c r="C257">
        <v>866109</v>
      </c>
    </row>
    <row r="258" spans="1:3" x14ac:dyDescent="0.25">
      <c r="A258" t="s">
        <v>68</v>
      </c>
      <c r="B258" t="s">
        <v>5</v>
      </c>
      <c r="C258">
        <v>26280.05</v>
      </c>
    </row>
    <row r="259" spans="1:3" x14ac:dyDescent="0.25">
      <c r="A259" t="s">
        <v>68</v>
      </c>
      <c r="B259" t="s">
        <v>40</v>
      </c>
      <c r="C259">
        <v>33298.57</v>
      </c>
    </row>
    <row r="260" spans="1:3" x14ac:dyDescent="0.25">
      <c r="A260" t="s">
        <v>68</v>
      </c>
      <c r="B260" t="s">
        <v>21</v>
      </c>
      <c r="C260">
        <v>5692.91</v>
      </c>
    </row>
    <row r="261" spans="1:3" x14ac:dyDescent="0.25">
      <c r="A261" t="s">
        <v>66</v>
      </c>
      <c r="B261" t="s">
        <v>24</v>
      </c>
      <c r="C261">
        <v>146844</v>
      </c>
    </row>
    <row r="262" spans="1:3" x14ac:dyDescent="0.25">
      <c r="A262" t="s">
        <v>60</v>
      </c>
      <c r="B262" t="s">
        <v>9</v>
      </c>
      <c r="C262">
        <v>24910.16</v>
      </c>
    </row>
    <row r="263" spans="1:3" x14ac:dyDescent="0.25">
      <c r="A263" t="s">
        <v>68</v>
      </c>
      <c r="B263" t="s">
        <v>27</v>
      </c>
      <c r="C263">
        <v>39029.120000000003</v>
      </c>
    </row>
    <row r="264" spans="1:3" x14ac:dyDescent="0.25">
      <c r="A264" t="s">
        <v>60</v>
      </c>
      <c r="B264" t="s">
        <v>28</v>
      </c>
      <c r="C264">
        <v>72014.23</v>
      </c>
    </row>
    <row r="265" spans="1:3" x14ac:dyDescent="0.25">
      <c r="A265" t="s">
        <v>68</v>
      </c>
      <c r="B265" t="s">
        <v>22</v>
      </c>
      <c r="C265">
        <v>38801.619999999995</v>
      </c>
    </row>
    <row r="266" spans="1:3" x14ac:dyDescent="0.25">
      <c r="A266" t="s">
        <v>64</v>
      </c>
      <c r="B266" t="s">
        <v>24</v>
      </c>
      <c r="C266">
        <v>215415</v>
      </c>
    </row>
    <row r="267" spans="1:3" x14ac:dyDescent="0.25">
      <c r="A267" t="s">
        <v>66</v>
      </c>
      <c r="B267" t="s">
        <v>54</v>
      </c>
      <c r="C267">
        <v>224130</v>
      </c>
    </row>
    <row r="268" spans="1:3" x14ac:dyDescent="0.25">
      <c r="A268" t="s">
        <v>68</v>
      </c>
      <c r="B268" t="s">
        <v>26</v>
      </c>
      <c r="C268">
        <v>95653.48</v>
      </c>
    </row>
    <row r="269" spans="1:3" x14ac:dyDescent="0.25">
      <c r="A269" t="s">
        <v>67</v>
      </c>
      <c r="B269" t="s">
        <v>7</v>
      </c>
      <c r="C269">
        <v>20106</v>
      </c>
    </row>
    <row r="270" spans="1:3" x14ac:dyDescent="0.25">
      <c r="A270" t="s">
        <v>60</v>
      </c>
      <c r="B270" t="s">
        <v>31</v>
      </c>
      <c r="C270">
        <v>110502.3</v>
      </c>
    </row>
    <row r="271" spans="1:3" x14ac:dyDescent="0.25">
      <c r="A271" t="s">
        <v>67</v>
      </c>
      <c r="B271" t="s">
        <v>19</v>
      </c>
      <c r="C271">
        <v>31932.510000000002</v>
      </c>
    </row>
    <row r="272" spans="1:3" x14ac:dyDescent="0.25">
      <c r="A272" t="s">
        <v>64</v>
      </c>
      <c r="B272" t="s">
        <v>17</v>
      </c>
      <c r="C272">
        <v>459664</v>
      </c>
    </row>
    <row r="273" spans="1:3" x14ac:dyDescent="0.25">
      <c r="A273" t="s">
        <v>60</v>
      </c>
      <c r="B273" t="s">
        <v>37</v>
      </c>
      <c r="C273">
        <v>149368.47999999998</v>
      </c>
    </row>
    <row r="274" spans="1:3" x14ac:dyDescent="0.25">
      <c r="A274" t="s">
        <v>64</v>
      </c>
      <c r="B274" t="s">
        <v>23</v>
      </c>
      <c r="C274">
        <v>385606</v>
      </c>
    </row>
    <row r="275" spans="1:3" x14ac:dyDescent="0.25">
      <c r="A275" t="s">
        <v>67</v>
      </c>
      <c r="B275" t="s">
        <v>11</v>
      </c>
      <c r="C275">
        <v>21975.170000000002</v>
      </c>
    </row>
    <row r="276" spans="1:3" x14ac:dyDescent="0.25">
      <c r="A276" t="s">
        <v>65</v>
      </c>
      <c r="B276" t="s">
        <v>5</v>
      </c>
      <c r="C276">
        <v>64083.92</v>
      </c>
    </row>
    <row r="277" spans="1:3" x14ac:dyDescent="0.25">
      <c r="A277" t="s">
        <v>67</v>
      </c>
      <c r="B277" t="s">
        <v>36</v>
      </c>
      <c r="C277">
        <v>59405.279999999999</v>
      </c>
    </row>
    <row r="278" spans="1:3" x14ac:dyDescent="0.25">
      <c r="A278" t="s">
        <v>67</v>
      </c>
      <c r="B278" t="s">
        <v>8</v>
      </c>
      <c r="C278">
        <v>24125</v>
      </c>
    </row>
    <row r="279" spans="1:3" x14ac:dyDescent="0.25">
      <c r="A279" t="s">
        <v>68</v>
      </c>
      <c r="B279" t="s">
        <v>17</v>
      </c>
      <c r="C279">
        <v>15471.2</v>
      </c>
    </row>
    <row r="280" spans="1:3" x14ac:dyDescent="0.25">
      <c r="A280" t="s">
        <v>67</v>
      </c>
      <c r="B280" t="s">
        <v>10</v>
      </c>
      <c r="C280">
        <v>22586</v>
      </c>
    </row>
    <row r="281" spans="1:3" x14ac:dyDescent="0.25">
      <c r="A281" t="s">
        <v>66</v>
      </c>
      <c r="B281" t="s">
        <v>17</v>
      </c>
      <c r="C281">
        <v>191012</v>
      </c>
    </row>
    <row r="282" spans="1:3" x14ac:dyDescent="0.25">
      <c r="A282" t="s">
        <v>64</v>
      </c>
      <c r="B282" t="s">
        <v>22</v>
      </c>
      <c r="C282">
        <v>389727</v>
      </c>
    </row>
    <row r="283" spans="1:3" x14ac:dyDescent="0.25">
      <c r="A283" t="s">
        <v>60</v>
      </c>
      <c r="B283" t="s">
        <v>15</v>
      </c>
      <c r="C283">
        <v>35705.93</v>
      </c>
    </row>
    <row r="284" spans="1:3" x14ac:dyDescent="0.25">
      <c r="A284" t="s">
        <v>68</v>
      </c>
      <c r="B284" t="s">
        <v>25</v>
      </c>
      <c r="C284">
        <v>57883.070000000007</v>
      </c>
    </row>
    <row r="285" spans="1:3" x14ac:dyDescent="0.25">
      <c r="A285" t="s">
        <v>60</v>
      </c>
      <c r="B285" t="s">
        <v>19</v>
      </c>
      <c r="C285">
        <v>11579</v>
      </c>
    </row>
    <row r="286" spans="1:3" x14ac:dyDescent="0.25">
      <c r="A286" t="s">
        <v>67</v>
      </c>
      <c r="B286" t="s">
        <v>12</v>
      </c>
      <c r="C286">
        <v>26844.18</v>
      </c>
    </row>
    <row r="287" spans="1:3" x14ac:dyDescent="0.25">
      <c r="A287" t="s">
        <v>66</v>
      </c>
      <c r="B287" t="s">
        <v>31</v>
      </c>
      <c r="C287">
        <v>258046</v>
      </c>
    </row>
    <row r="288" spans="1:3" x14ac:dyDescent="0.25">
      <c r="A288" t="s">
        <v>67</v>
      </c>
      <c r="B288" t="s">
        <v>35</v>
      </c>
      <c r="C288">
        <v>85310.77</v>
      </c>
    </row>
    <row r="289" spans="1:3" x14ac:dyDescent="0.25">
      <c r="A289" t="s">
        <v>64</v>
      </c>
      <c r="B289" t="s">
        <v>21</v>
      </c>
      <c r="C289">
        <v>432731</v>
      </c>
    </row>
    <row r="290" spans="1:3" x14ac:dyDescent="0.25">
      <c r="A290" t="s">
        <v>67</v>
      </c>
      <c r="B290" t="s">
        <v>15</v>
      </c>
      <c r="C290">
        <v>38023.81</v>
      </c>
    </row>
    <row r="291" spans="1:3" x14ac:dyDescent="0.25">
      <c r="A291" t="s">
        <v>67</v>
      </c>
      <c r="B291" t="s">
        <v>16</v>
      </c>
      <c r="C291">
        <v>37247.870000000003</v>
      </c>
    </row>
    <row r="292" spans="1:3" x14ac:dyDescent="0.25">
      <c r="A292" t="s">
        <v>66</v>
      </c>
      <c r="B292" t="s">
        <v>21</v>
      </c>
      <c r="C292">
        <v>189469</v>
      </c>
    </row>
    <row r="293" spans="1:3" x14ac:dyDescent="0.25">
      <c r="A293" t="s">
        <v>68</v>
      </c>
      <c r="B293" t="s">
        <v>39</v>
      </c>
      <c r="C293">
        <v>30552.22</v>
      </c>
    </row>
    <row r="294" spans="1:3" x14ac:dyDescent="0.25">
      <c r="A294" t="s">
        <v>66</v>
      </c>
      <c r="B294" t="s">
        <v>39</v>
      </c>
      <c r="C294">
        <v>190946</v>
      </c>
    </row>
    <row r="295" spans="1:3" x14ac:dyDescent="0.25">
      <c r="A295" t="s">
        <v>66</v>
      </c>
      <c r="B295" t="s">
        <v>47</v>
      </c>
      <c r="C295">
        <v>244158</v>
      </c>
    </row>
    <row r="296" spans="1:3" x14ac:dyDescent="0.25">
      <c r="A296" t="s">
        <v>68</v>
      </c>
      <c r="B296" t="s">
        <v>3</v>
      </c>
      <c r="C296">
        <v>22157.100000000002</v>
      </c>
    </row>
    <row r="297" spans="1:3" x14ac:dyDescent="0.25">
      <c r="A297" t="s">
        <v>64</v>
      </c>
      <c r="B297" t="s">
        <v>55</v>
      </c>
      <c r="C297">
        <v>194816</v>
      </c>
    </row>
    <row r="298" spans="1:3" x14ac:dyDescent="0.25">
      <c r="A298" t="s">
        <v>67</v>
      </c>
      <c r="B298" t="s">
        <v>6</v>
      </c>
      <c r="C298">
        <v>25938</v>
      </c>
    </row>
    <row r="299" spans="1:3" x14ac:dyDescent="0.25">
      <c r="A299" t="s">
        <v>60</v>
      </c>
      <c r="B299" t="s">
        <v>17</v>
      </c>
      <c r="C299">
        <v>30501.370000000003</v>
      </c>
    </row>
    <row r="300" spans="1:3" x14ac:dyDescent="0.25">
      <c r="A300" t="s">
        <v>67</v>
      </c>
      <c r="B300" t="s">
        <v>13</v>
      </c>
      <c r="C300">
        <v>34958.589999999997</v>
      </c>
    </row>
    <row r="301" spans="1:3" x14ac:dyDescent="0.25">
      <c r="A301" t="s">
        <v>66</v>
      </c>
      <c r="B301" t="s">
        <v>22</v>
      </c>
      <c r="C301">
        <v>453766</v>
      </c>
    </row>
    <row r="302" spans="1:3" x14ac:dyDescent="0.25">
      <c r="A302" t="s">
        <v>67</v>
      </c>
      <c r="B302" t="s">
        <v>3</v>
      </c>
      <c r="C302">
        <v>30684</v>
      </c>
    </row>
    <row r="303" spans="1:3" x14ac:dyDescent="0.25">
      <c r="A303" t="s">
        <v>67</v>
      </c>
      <c r="B303" t="s">
        <v>20</v>
      </c>
      <c r="C303">
        <v>49668.959999999999</v>
      </c>
    </row>
    <row r="304" spans="1:3" x14ac:dyDescent="0.25">
      <c r="A304" t="s">
        <v>68</v>
      </c>
      <c r="B304" t="s">
        <v>24</v>
      </c>
      <c r="C304">
        <v>17629.46</v>
      </c>
    </row>
    <row r="305" spans="1:3" x14ac:dyDescent="0.25">
      <c r="A305" t="s">
        <v>66</v>
      </c>
      <c r="B305" t="s">
        <v>10</v>
      </c>
      <c r="C305">
        <v>191558</v>
      </c>
    </row>
    <row r="306" spans="1:3" x14ac:dyDescent="0.25">
      <c r="A306" t="s">
        <v>66</v>
      </c>
      <c r="B306" t="s">
        <v>14</v>
      </c>
      <c r="C306">
        <v>219916</v>
      </c>
    </row>
    <row r="307" spans="1:3" x14ac:dyDescent="0.25">
      <c r="A307" t="s">
        <v>67</v>
      </c>
      <c r="B307" t="s">
        <v>24</v>
      </c>
      <c r="C307">
        <v>59953.24</v>
      </c>
    </row>
    <row r="308" spans="1:3" x14ac:dyDescent="0.25">
      <c r="A308" t="s">
        <v>64</v>
      </c>
      <c r="B308" t="s">
        <v>26</v>
      </c>
      <c r="C308">
        <v>614214</v>
      </c>
    </row>
    <row r="309" spans="1:3" x14ac:dyDescent="0.25">
      <c r="A309" t="s">
        <v>66</v>
      </c>
      <c r="B309" t="s">
        <v>36</v>
      </c>
      <c r="C309">
        <v>215242</v>
      </c>
    </row>
    <row r="310" spans="1:3" x14ac:dyDescent="0.25">
      <c r="A310" t="s">
        <v>67</v>
      </c>
      <c r="B310" t="s">
        <v>39</v>
      </c>
      <c r="C310">
        <v>91308.420000000013</v>
      </c>
    </row>
    <row r="311" spans="1:3" x14ac:dyDescent="0.25">
      <c r="A311" t="s">
        <v>67</v>
      </c>
      <c r="B311" t="s">
        <v>23</v>
      </c>
      <c r="C311">
        <v>68060.42</v>
      </c>
    </row>
    <row r="312" spans="1:3" x14ac:dyDescent="0.25">
      <c r="A312" t="s">
        <v>62</v>
      </c>
      <c r="B312" t="s">
        <v>15</v>
      </c>
      <c r="C312">
        <v>819171</v>
      </c>
    </row>
    <row r="313" spans="1:3" x14ac:dyDescent="0.25">
      <c r="A313" t="s">
        <v>60</v>
      </c>
      <c r="B313" t="s">
        <v>10</v>
      </c>
      <c r="C313">
        <v>40593.93</v>
      </c>
    </row>
    <row r="314" spans="1:3" x14ac:dyDescent="0.25">
      <c r="A314" t="s">
        <v>60</v>
      </c>
      <c r="B314" t="s">
        <v>16</v>
      </c>
      <c r="C314">
        <v>14172.33</v>
      </c>
    </row>
    <row r="315" spans="1:3" x14ac:dyDescent="0.25">
      <c r="A315" t="s">
        <v>66</v>
      </c>
      <c r="B315" t="s">
        <v>18</v>
      </c>
      <c r="C315">
        <v>237058</v>
      </c>
    </row>
    <row r="316" spans="1:3" x14ac:dyDescent="0.25">
      <c r="A316" t="s">
        <v>64</v>
      </c>
      <c r="B316" t="s">
        <v>27</v>
      </c>
      <c r="C316">
        <v>620291</v>
      </c>
    </row>
    <row r="317" spans="1:3" x14ac:dyDescent="0.25">
      <c r="A317" t="s">
        <v>66</v>
      </c>
      <c r="B317" t="s">
        <v>27</v>
      </c>
      <c r="C317">
        <v>239735</v>
      </c>
    </row>
    <row r="318" spans="1:3" x14ac:dyDescent="0.25">
      <c r="A318" t="s">
        <v>62</v>
      </c>
      <c r="B318" t="s">
        <v>10</v>
      </c>
      <c r="C318">
        <v>1197653</v>
      </c>
    </row>
    <row r="319" spans="1:3" x14ac:dyDescent="0.25">
      <c r="A319" t="s">
        <v>67</v>
      </c>
      <c r="B319" t="s">
        <v>18</v>
      </c>
      <c r="C319">
        <v>49680.729999999996</v>
      </c>
    </row>
    <row r="320" spans="1:3" x14ac:dyDescent="0.25">
      <c r="A320" t="s">
        <v>66</v>
      </c>
      <c r="B320" t="s">
        <v>42</v>
      </c>
      <c r="C320">
        <v>299563</v>
      </c>
    </row>
    <row r="321" spans="1:3" x14ac:dyDescent="0.25">
      <c r="A321" t="s">
        <v>63</v>
      </c>
      <c r="B321" t="s">
        <v>9</v>
      </c>
      <c r="C321">
        <v>524924</v>
      </c>
    </row>
    <row r="322" spans="1:3" x14ac:dyDescent="0.25">
      <c r="A322" t="s">
        <v>61</v>
      </c>
      <c r="B322" t="s">
        <v>58</v>
      </c>
      <c r="C322">
        <v>7443.17</v>
      </c>
    </row>
    <row r="323" spans="1:3" x14ac:dyDescent="0.25">
      <c r="A323" t="s">
        <v>67</v>
      </c>
      <c r="B323" t="s">
        <v>5</v>
      </c>
      <c r="C323">
        <v>34681</v>
      </c>
    </row>
    <row r="324" spans="1:3" x14ac:dyDescent="0.25">
      <c r="A324" t="s">
        <v>66</v>
      </c>
      <c r="B324" t="s">
        <v>41</v>
      </c>
      <c r="C324">
        <v>266791</v>
      </c>
    </row>
    <row r="325" spans="1:3" x14ac:dyDescent="0.25">
      <c r="A325" t="s">
        <v>67</v>
      </c>
      <c r="B325" t="s">
        <v>17</v>
      </c>
      <c r="C325">
        <v>55132.4</v>
      </c>
    </row>
    <row r="326" spans="1:3" x14ac:dyDescent="0.25">
      <c r="A326" t="s">
        <v>67</v>
      </c>
      <c r="B326" t="s">
        <v>38</v>
      </c>
      <c r="C326">
        <v>104103.40999999999</v>
      </c>
    </row>
    <row r="327" spans="1:3" x14ac:dyDescent="0.25">
      <c r="A327" t="s">
        <v>67</v>
      </c>
      <c r="B327" t="s">
        <v>14</v>
      </c>
      <c r="C327">
        <v>44556.160000000003</v>
      </c>
    </row>
    <row r="328" spans="1:3" x14ac:dyDescent="0.25">
      <c r="A328" t="s">
        <v>65</v>
      </c>
      <c r="B328" t="s">
        <v>3</v>
      </c>
      <c r="C328">
        <v>72159.09</v>
      </c>
    </row>
    <row r="329" spans="1:3" x14ac:dyDescent="0.25">
      <c r="A329" t="s">
        <v>66</v>
      </c>
      <c r="B329" t="s">
        <v>25</v>
      </c>
      <c r="C329">
        <v>257466</v>
      </c>
    </row>
    <row r="330" spans="1:3" x14ac:dyDescent="0.25">
      <c r="A330" t="s">
        <v>66</v>
      </c>
      <c r="B330" t="s">
        <v>46</v>
      </c>
      <c r="C330">
        <v>407567</v>
      </c>
    </row>
    <row r="331" spans="1:3" x14ac:dyDescent="0.25">
      <c r="A331" t="s">
        <v>67</v>
      </c>
      <c r="B331" t="s">
        <v>21</v>
      </c>
      <c r="C331">
        <v>66757.16</v>
      </c>
    </row>
    <row r="332" spans="1:3" x14ac:dyDescent="0.25">
      <c r="A332" t="s">
        <v>68</v>
      </c>
      <c r="B332" t="s">
        <v>30</v>
      </c>
      <c r="C332">
        <v>94979.33</v>
      </c>
    </row>
    <row r="333" spans="1:3" x14ac:dyDescent="0.25">
      <c r="A333" t="s">
        <v>67</v>
      </c>
      <c r="B333" t="s">
        <v>27</v>
      </c>
      <c r="C333">
        <v>89975.31</v>
      </c>
    </row>
    <row r="334" spans="1:3" x14ac:dyDescent="0.25">
      <c r="A334" t="s">
        <v>62</v>
      </c>
      <c r="B334" t="s">
        <v>54</v>
      </c>
      <c r="C334">
        <v>552729</v>
      </c>
    </row>
    <row r="335" spans="1:3" x14ac:dyDescent="0.25">
      <c r="A335" t="s">
        <v>68</v>
      </c>
      <c r="B335" t="s">
        <v>38</v>
      </c>
      <c r="C335">
        <v>103680.87</v>
      </c>
    </row>
    <row r="336" spans="1:3" x14ac:dyDescent="0.25">
      <c r="A336" t="s">
        <v>66</v>
      </c>
      <c r="B336" t="s">
        <v>26</v>
      </c>
      <c r="C336">
        <v>314280</v>
      </c>
    </row>
    <row r="337" spans="1:3" x14ac:dyDescent="0.25">
      <c r="A337" t="s">
        <v>67</v>
      </c>
      <c r="B337" t="s">
        <v>32</v>
      </c>
      <c r="C337">
        <v>101299.4</v>
      </c>
    </row>
    <row r="338" spans="1:3" x14ac:dyDescent="0.25">
      <c r="A338" t="s">
        <v>65</v>
      </c>
      <c r="B338" t="s">
        <v>20</v>
      </c>
      <c r="C338">
        <v>58837.98</v>
      </c>
    </row>
    <row r="339" spans="1:3" x14ac:dyDescent="0.25">
      <c r="A339" t="s">
        <v>66</v>
      </c>
      <c r="B339" t="s">
        <v>45</v>
      </c>
      <c r="C339">
        <v>357660</v>
      </c>
    </row>
    <row r="340" spans="1:3" x14ac:dyDescent="0.25">
      <c r="A340" t="s">
        <v>60</v>
      </c>
      <c r="B340" t="s">
        <v>45</v>
      </c>
      <c r="C340">
        <v>93105.94</v>
      </c>
    </row>
    <row r="341" spans="1:3" x14ac:dyDescent="0.25">
      <c r="A341" t="s">
        <v>66</v>
      </c>
      <c r="B341" t="s">
        <v>28</v>
      </c>
      <c r="C341">
        <v>238150</v>
      </c>
    </row>
    <row r="342" spans="1:3" x14ac:dyDescent="0.25">
      <c r="A342" t="s">
        <v>68</v>
      </c>
      <c r="B342" t="s">
        <v>47</v>
      </c>
      <c r="C342">
        <v>67453.48</v>
      </c>
    </row>
    <row r="343" spans="1:3" x14ac:dyDescent="0.25">
      <c r="A343" t="s">
        <v>4</v>
      </c>
      <c r="B343" t="s">
        <v>10</v>
      </c>
      <c r="C343">
        <v>290520</v>
      </c>
    </row>
    <row r="344" spans="1:3" x14ac:dyDescent="0.25">
      <c r="A344" t="s">
        <v>64</v>
      </c>
      <c r="B344" t="s">
        <v>25</v>
      </c>
      <c r="C344">
        <v>775373</v>
      </c>
    </row>
    <row r="345" spans="1:3" x14ac:dyDescent="0.25">
      <c r="A345" t="s">
        <v>67</v>
      </c>
      <c r="B345" t="s">
        <v>31</v>
      </c>
      <c r="C345">
        <v>120336.92000000001</v>
      </c>
    </row>
    <row r="346" spans="1:3" x14ac:dyDescent="0.25">
      <c r="A346" t="s">
        <v>66</v>
      </c>
      <c r="B346" t="s">
        <v>35</v>
      </c>
      <c r="C346">
        <v>298506</v>
      </c>
    </row>
    <row r="347" spans="1:3" x14ac:dyDescent="0.25">
      <c r="A347" t="s">
        <v>67</v>
      </c>
      <c r="B347" t="s">
        <v>28</v>
      </c>
      <c r="C347">
        <v>109251.18000000001</v>
      </c>
    </row>
    <row r="348" spans="1:3" x14ac:dyDescent="0.25">
      <c r="A348" t="s">
        <v>63</v>
      </c>
      <c r="B348" t="s">
        <v>13</v>
      </c>
      <c r="C348">
        <v>440810.61</v>
      </c>
    </row>
    <row r="349" spans="1:3" x14ac:dyDescent="0.25">
      <c r="A349" t="s">
        <v>64</v>
      </c>
      <c r="B349" t="s">
        <v>28</v>
      </c>
      <c r="C349">
        <v>780327</v>
      </c>
    </row>
    <row r="350" spans="1:3" x14ac:dyDescent="0.25">
      <c r="A350" t="s">
        <v>67</v>
      </c>
      <c r="B350" t="s">
        <v>44</v>
      </c>
      <c r="C350">
        <v>87804.39</v>
      </c>
    </row>
    <row r="351" spans="1:3" x14ac:dyDescent="0.25">
      <c r="A351" t="s">
        <v>67</v>
      </c>
      <c r="B351" t="s">
        <v>26</v>
      </c>
      <c r="C351">
        <v>100191.31999999999</v>
      </c>
    </row>
    <row r="352" spans="1:3" x14ac:dyDescent="0.25">
      <c r="A352" t="s">
        <v>67</v>
      </c>
      <c r="B352" t="s">
        <v>41</v>
      </c>
      <c r="C352">
        <v>108521.15</v>
      </c>
    </row>
    <row r="353" spans="1:3" x14ac:dyDescent="0.25">
      <c r="A353" t="s">
        <v>67</v>
      </c>
      <c r="B353" t="s">
        <v>22</v>
      </c>
      <c r="C353">
        <v>97803.520000000004</v>
      </c>
    </row>
    <row r="354" spans="1:3" x14ac:dyDescent="0.25">
      <c r="A354" t="s">
        <v>61</v>
      </c>
      <c r="B354" t="s">
        <v>56</v>
      </c>
      <c r="C354">
        <v>10825.33</v>
      </c>
    </row>
    <row r="355" spans="1:3" x14ac:dyDescent="0.25">
      <c r="A355" t="s">
        <v>61</v>
      </c>
      <c r="B355" t="s">
        <v>14</v>
      </c>
      <c r="C355">
        <v>10944.59</v>
      </c>
    </row>
    <row r="356" spans="1:3" x14ac:dyDescent="0.25">
      <c r="A356" t="s">
        <v>66</v>
      </c>
      <c r="B356" t="s">
        <v>11</v>
      </c>
      <c r="C356">
        <v>90134</v>
      </c>
    </row>
    <row r="357" spans="1:3" x14ac:dyDescent="0.25">
      <c r="A357" t="s">
        <v>67</v>
      </c>
      <c r="B357" t="s">
        <v>34</v>
      </c>
      <c r="C357">
        <v>135215.95000000001</v>
      </c>
    </row>
    <row r="358" spans="1:3" x14ac:dyDescent="0.25">
      <c r="A358" t="s">
        <v>67</v>
      </c>
      <c r="B358" t="s">
        <v>33</v>
      </c>
      <c r="C358">
        <v>121834.90999999999</v>
      </c>
    </row>
    <row r="359" spans="1:3" x14ac:dyDescent="0.25">
      <c r="A359" t="s">
        <v>67</v>
      </c>
      <c r="B359" t="s">
        <v>37</v>
      </c>
      <c r="C359">
        <v>131442.64000000001</v>
      </c>
    </row>
    <row r="360" spans="1:3" x14ac:dyDescent="0.25">
      <c r="A360" t="s">
        <v>65</v>
      </c>
      <c r="B360" t="s">
        <v>6</v>
      </c>
      <c r="C360">
        <v>66257.52</v>
      </c>
    </row>
    <row r="361" spans="1:3" x14ac:dyDescent="0.25">
      <c r="A361" t="s">
        <v>60</v>
      </c>
      <c r="B361" t="s">
        <v>47</v>
      </c>
      <c r="C361">
        <v>70671.360000000001</v>
      </c>
    </row>
    <row r="362" spans="1:3" x14ac:dyDescent="0.25">
      <c r="A362" t="s">
        <v>66</v>
      </c>
      <c r="B362" t="s">
        <v>30</v>
      </c>
      <c r="C362">
        <v>432569</v>
      </c>
    </row>
    <row r="363" spans="1:3" x14ac:dyDescent="0.25">
      <c r="A363" t="s">
        <v>67</v>
      </c>
      <c r="B363" t="s">
        <v>29</v>
      </c>
      <c r="C363">
        <v>122314.82999999999</v>
      </c>
    </row>
    <row r="364" spans="1:3" x14ac:dyDescent="0.25">
      <c r="A364" t="s">
        <v>61</v>
      </c>
      <c r="B364" t="s">
        <v>27</v>
      </c>
      <c r="C364">
        <v>12031.1</v>
      </c>
    </row>
    <row r="365" spans="1:3" x14ac:dyDescent="0.25">
      <c r="A365" t="s">
        <v>67</v>
      </c>
      <c r="B365" t="s">
        <v>25</v>
      </c>
      <c r="C365">
        <v>105144.14</v>
      </c>
    </row>
    <row r="366" spans="1:3" x14ac:dyDescent="0.25">
      <c r="A366" t="s">
        <v>63</v>
      </c>
      <c r="B366" t="s">
        <v>27</v>
      </c>
      <c r="C366">
        <v>625651.40999999992</v>
      </c>
    </row>
    <row r="367" spans="1:3" x14ac:dyDescent="0.25">
      <c r="A367" t="s">
        <v>64</v>
      </c>
      <c r="B367" t="s">
        <v>34</v>
      </c>
      <c r="C367">
        <v>694433</v>
      </c>
    </row>
    <row r="368" spans="1:3" x14ac:dyDescent="0.25">
      <c r="A368" t="s">
        <v>68</v>
      </c>
      <c r="B368" t="s">
        <v>29</v>
      </c>
      <c r="C368">
        <v>90720.19</v>
      </c>
    </row>
    <row r="369" spans="1:3" x14ac:dyDescent="0.25">
      <c r="A369" t="s">
        <v>66</v>
      </c>
      <c r="B369" t="s">
        <v>29</v>
      </c>
      <c r="C369">
        <v>362418</v>
      </c>
    </row>
    <row r="370" spans="1:3" x14ac:dyDescent="0.25">
      <c r="A370" t="s">
        <v>68</v>
      </c>
      <c r="B370" t="s">
        <v>46</v>
      </c>
      <c r="C370">
        <v>109289.17000000001</v>
      </c>
    </row>
    <row r="371" spans="1:3" x14ac:dyDescent="0.25">
      <c r="A371" t="s">
        <v>67</v>
      </c>
      <c r="B371" t="s">
        <v>47</v>
      </c>
      <c r="C371">
        <v>124623.94</v>
      </c>
    </row>
    <row r="372" spans="1:3" x14ac:dyDescent="0.25">
      <c r="A372" t="s">
        <v>68</v>
      </c>
      <c r="B372" t="s">
        <v>28</v>
      </c>
      <c r="C372">
        <v>50401.03</v>
      </c>
    </row>
    <row r="373" spans="1:3" x14ac:dyDescent="0.25">
      <c r="A373" t="s">
        <v>66</v>
      </c>
      <c r="B373" t="s">
        <v>34</v>
      </c>
      <c r="C373">
        <v>422644</v>
      </c>
    </row>
    <row r="374" spans="1:3" x14ac:dyDescent="0.25">
      <c r="A374" t="s">
        <v>66</v>
      </c>
      <c r="B374" t="s">
        <v>32</v>
      </c>
      <c r="C374">
        <v>298847</v>
      </c>
    </row>
    <row r="375" spans="1:3" x14ac:dyDescent="0.25">
      <c r="A375" t="s">
        <v>65</v>
      </c>
      <c r="B375" t="s">
        <v>8</v>
      </c>
      <c r="C375">
        <v>41576.050000000003</v>
      </c>
    </row>
    <row r="376" spans="1:3" x14ac:dyDescent="0.25">
      <c r="A376" t="s">
        <v>67</v>
      </c>
      <c r="B376" t="s">
        <v>42</v>
      </c>
      <c r="C376">
        <v>145125.39000000001</v>
      </c>
    </row>
    <row r="377" spans="1:3" x14ac:dyDescent="0.25">
      <c r="A377" t="s">
        <v>68</v>
      </c>
      <c r="B377" t="s">
        <v>45</v>
      </c>
      <c r="C377">
        <v>101147.5</v>
      </c>
    </row>
    <row r="378" spans="1:3" x14ac:dyDescent="0.25">
      <c r="A378" t="s">
        <v>64</v>
      </c>
      <c r="B378" t="s">
        <v>36</v>
      </c>
      <c r="C378">
        <v>658021</v>
      </c>
    </row>
    <row r="379" spans="1:3" x14ac:dyDescent="0.25">
      <c r="A379" t="s">
        <v>67</v>
      </c>
      <c r="B379" t="s">
        <v>46</v>
      </c>
      <c r="C379">
        <v>124681.86</v>
      </c>
    </row>
    <row r="380" spans="1:3" x14ac:dyDescent="0.25">
      <c r="A380" t="s">
        <v>68</v>
      </c>
      <c r="B380" t="s">
        <v>44</v>
      </c>
      <c r="C380">
        <v>30567.659999999996</v>
      </c>
    </row>
    <row r="381" spans="1:3" x14ac:dyDescent="0.25">
      <c r="A381" t="s">
        <v>61</v>
      </c>
      <c r="B381" t="s">
        <v>13</v>
      </c>
      <c r="C381">
        <v>14177.08</v>
      </c>
    </row>
    <row r="382" spans="1:3" x14ac:dyDescent="0.25">
      <c r="A382" t="s">
        <v>64</v>
      </c>
      <c r="B382" t="s">
        <v>58</v>
      </c>
      <c r="C382">
        <v>395148</v>
      </c>
    </row>
    <row r="383" spans="1:3" x14ac:dyDescent="0.25">
      <c r="A383" t="s">
        <v>61</v>
      </c>
      <c r="B383" t="s">
        <v>10</v>
      </c>
      <c r="C383">
        <v>14482</v>
      </c>
    </row>
    <row r="384" spans="1:3" x14ac:dyDescent="0.25">
      <c r="A384" t="s">
        <v>66</v>
      </c>
      <c r="B384" t="s">
        <v>38</v>
      </c>
      <c r="C384">
        <v>420921</v>
      </c>
    </row>
    <row r="385" spans="1:3" x14ac:dyDescent="0.25">
      <c r="A385" t="s">
        <v>67</v>
      </c>
      <c r="B385" t="s">
        <v>43</v>
      </c>
      <c r="C385">
        <v>136064.97</v>
      </c>
    </row>
    <row r="386" spans="1:3" x14ac:dyDescent="0.25">
      <c r="A386" t="s">
        <v>61</v>
      </c>
      <c r="B386" t="s">
        <v>7</v>
      </c>
      <c r="C386">
        <v>15163</v>
      </c>
    </row>
    <row r="387" spans="1:3" x14ac:dyDescent="0.25">
      <c r="A387" t="s">
        <v>64</v>
      </c>
      <c r="B387" t="s">
        <v>35</v>
      </c>
      <c r="C387">
        <v>845884</v>
      </c>
    </row>
    <row r="388" spans="1:3" x14ac:dyDescent="0.25">
      <c r="A388" t="s">
        <v>66</v>
      </c>
      <c r="B388" t="s">
        <v>33</v>
      </c>
      <c r="C388">
        <v>417763</v>
      </c>
    </row>
    <row r="389" spans="1:3" x14ac:dyDescent="0.25">
      <c r="A389" t="s">
        <v>67</v>
      </c>
      <c r="B389" t="s">
        <v>30</v>
      </c>
      <c r="C389">
        <v>157218.97</v>
      </c>
    </row>
    <row r="390" spans="1:3" x14ac:dyDescent="0.25">
      <c r="A390" t="s">
        <v>65</v>
      </c>
      <c r="B390" t="s">
        <v>42</v>
      </c>
      <c r="C390">
        <v>128958.94</v>
      </c>
    </row>
    <row r="391" spans="1:3" x14ac:dyDescent="0.25">
      <c r="A391" t="s">
        <v>61</v>
      </c>
      <c r="B391" t="s">
        <v>15</v>
      </c>
      <c r="C391">
        <v>15671.78</v>
      </c>
    </row>
    <row r="392" spans="1:3" x14ac:dyDescent="0.25">
      <c r="A392" t="s">
        <v>64</v>
      </c>
      <c r="B392" t="s">
        <v>44</v>
      </c>
      <c r="C392">
        <v>504939</v>
      </c>
    </row>
    <row r="393" spans="1:3" x14ac:dyDescent="0.25">
      <c r="A393" t="s">
        <v>63</v>
      </c>
      <c r="B393" t="s">
        <v>10</v>
      </c>
      <c r="C393">
        <v>565515</v>
      </c>
    </row>
    <row r="394" spans="1:3" x14ac:dyDescent="0.25">
      <c r="A394" t="s">
        <v>65</v>
      </c>
      <c r="B394" t="s">
        <v>7</v>
      </c>
      <c r="C394">
        <v>63484.69</v>
      </c>
    </row>
    <row r="395" spans="1:3" x14ac:dyDescent="0.25">
      <c r="A395" t="s">
        <v>64</v>
      </c>
      <c r="B395" t="s">
        <v>29</v>
      </c>
      <c r="C395">
        <v>1085036</v>
      </c>
    </row>
    <row r="396" spans="1:3" x14ac:dyDescent="0.25">
      <c r="A396" t="s">
        <v>63</v>
      </c>
      <c r="B396" t="s">
        <v>23</v>
      </c>
      <c r="C396">
        <v>237517.57</v>
      </c>
    </row>
    <row r="397" spans="1:3" x14ac:dyDescent="0.25">
      <c r="A397" t="s">
        <v>64</v>
      </c>
      <c r="B397" t="s">
        <v>30</v>
      </c>
      <c r="C397">
        <v>1224900</v>
      </c>
    </row>
    <row r="398" spans="1:3" x14ac:dyDescent="0.25">
      <c r="A398" t="s">
        <v>65</v>
      </c>
      <c r="B398" t="s">
        <v>59</v>
      </c>
      <c r="C398">
        <v>100326.95999999999</v>
      </c>
    </row>
    <row r="399" spans="1:3" x14ac:dyDescent="0.25">
      <c r="A399" t="s">
        <v>64</v>
      </c>
      <c r="B399" t="s">
        <v>40</v>
      </c>
      <c r="C399">
        <v>616430</v>
      </c>
    </row>
    <row r="400" spans="1:3" x14ac:dyDescent="0.25">
      <c r="A400" t="s">
        <v>64</v>
      </c>
      <c r="B400" t="s">
        <v>31</v>
      </c>
      <c r="C400">
        <v>1026205</v>
      </c>
    </row>
    <row r="401" spans="1:3" x14ac:dyDescent="0.25">
      <c r="A401" t="s">
        <v>61</v>
      </c>
      <c r="B401" t="s">
        <v>11</v>
      </c>
      <c r="C401">
        <v>17310.77</v>
      </c>
    </row>
    <row r="402" spans="1:3" x14ac:dyDescent="0.25">
      <c r="A402" t="s">
        <v>64</v>
      </c>
      <c r="B402" t="s">
        <v>39</v>
      </c>
      <c r="C402">
        <v>772871</v>
      </c>
    </row>
    <row r="403" spans="1:3" x14ac:dyDescent="0.25">
      <c r="A403" t="s">
        <v>64</v>
      </c>
      <c r="B403" t="s">
        <v>47</v>
      </c>
      <c r="C403">
        <v>664733</v>
      </c>
    </row>
    <row r="404" spans="1:3" x14ac:dyDescent="0.25">
      <c r="A404" t="s">
        <v>60</v>
      </c>
      <c r="B404" t="s">
        <v>27</v>
      </c>
      <c r="C404">
        <v>77448.63</v>
      </c>
    </row>
    <row r="405" spans="1:3" x14ac:dyDescent="0.25">
      <c r="A405" t="s">
        <v>66</v>
      </c>
      <c r="B405" t="s">
        <v>37</v>
      </c>
      <c r="C405">
        <v>463667</v>
      </c>
    </row>
    <row r="406" spans="1:3" x14ac:dyDescent="0.25">
      <c r="A406" t="s">
        <v>60</v>
      </c>
      <c r="B406" t="s">
        <v>30</v>
      </c>
      <c r="C406">
        <v>156130.66999999998</v>
      </c>
    </row>
    <row r="407" spans="1:3" x14ac:dyDescent="0.25">
      <c r="A407" t="s">
        <v>61</v>
      </c>
      <c r="B407" t="s">
        <v>42</v>
      </c>
      <c r="C407">
        <v>18124.259999999998</v>
      </c>
    </row>
    <row r="408" spans="1:3" x14ac:dyDescent="0.25">
      <c r="A408" t="s">
        <v>61</v>
      </c>
      <c r="B408" t="s">
        <v>6</v>
      </c>
      <c r="C408">
        <v>18299</v>
      </c>
    </row>
    <row r="409" spans="1:3" x14ac:dyDescent="0.25">
      <c r="A409" t="s">
        <v>60</v>
      </c>
      <c r="B409" t="s">
        <v>26</v>
      </c>
      <c r="C409">
        <v>105676.99</v>
      </c>
    </row>
    <row r="410" spans="1:3" x14ac:dyDescent="0.25">
      <c r="A410" t="s">
        <v>64</v>
      </c>
      <c r="B410" t="s">
        <v>32</v>
      </c>
      <c r="C410">
        <v>943814</v>
      </c>
    </row>
    <row r="411" spans="1:3" x14ac:dyDescent="0.25">
      <c r="A411" t="s">
        <v>64</v>
      </c>
      <c r="B411" t="s">
        <v>46</v>
      </c>
      <c r="C411">
        <v>819474</v>
      </c>
    </row>
    <row r="412" spans="1:3" x14ac:dyDescent="0.25">
      <c r="A412" t="s">
        <v>65</v>
      </c>
      <c r="B412" t="s">
        <v>44</v>
      </c>
      <c r="C412">
        <v>83295.87</v>
      </c>
    </row>
    <row r="413" spans="1:3" x14ac:dyDescent="0.25">
      <c r="A413" t="s">
        <v>60</v>
      </c>
      <c r="B413" t="s">
        <v>34</v>
      </c>
      <c r="C413">
        <v>177784.94</v>
      </c>
    </row>
    <row r="414" spans="1:3" x14ac:dyDescent="0.25">
      <c r="A414" t="s">
        <v>67</v>
      </c>
      <c r="B414" t="s">
        <v>45</v>
      </c>
      <c r="C414">
        <v>163938.36000000002</v>
      </c>
    </row>
    <row r="415" spans="1:3" x14ac:dyDescent="0.25">
      <c r="A415" t="s">
        <v>64</v>
      </c>
      <c r="B415" t="s">
        <v>42</v>
      </c>
      <c r="C415">
        <v>797969</v>
      </c>
    </row>
    <row r="416" spans="1:3" x14ac:dyDescent="0.25">
      <c r="A416" t="s">
        <v>61</v>
      </c>
      <c r="B416" t="s">
        <v>54</v>
      </c>
      <c r="C416">
        <v>20127.64</v>
      </c>
    </row>
    <row r="417" spans="1:3" x14ac:dyDescent="0.25">
      <c r="A417" t="s">
        <v>61</v>
      </c>
      <c r="B417" t="s">
        <v>39</v>
      </c>
      <c r="C417">
        <v>20185.93</v>
      </c>
    </row>
    <row r="418" spans="1:3" x14ac:dyDescent="0.25">
      <c r="A418" t="s">
        <v>64</v>
      </c>
      <c r="B418" t="s">
        <v>38</v>
      </c>
      <c r="C418">
        <v>834103</v>
      </c>
    </row>
    <row r="419" spans="1:3" x14ac:dyDescent="0.25">
      <c r="A419" t="s">
        <v>64</v>
      </c>
      <c r="B419" t="s">
        <v>43</v>
      </c>
      <c r="C419">
        <v>819684</v>
      </c>
    </row>
    <row r="420" spans="1:3" x14ac:dyDescent="0.25">
      <c r="A420" t="s">
        <v>61</v>
      </c>
      <c r="B420" t="s">
        <v>19</v>
      </c>
      <c r="C420">
        <v>20701.13</v>
      </c>
    </row>
    <row r="421" spans="1:3" x14ac:dyDescent="0.25">
      <c r="A421" t="s">
        <v>65</v>
      </c>
      <c r="B421" t="s">
        <v>9</v>
      </c>
      <c r="C421">
        <v>94786.25</v>
      </c>
    </row>
    <row r="422" spans="1:3" x14ac:dyDescent="0.25">
      <c r="A422" t="s">
        <v>60</v>
      </c>
      <c r="B422" t="s">
        <v>42</v>
      </c>
      <c r="C422">
        <v>119690.37</v>
      </c>
    </row>
    <row r="423" spans="1:3" x14ac:dyDescent="0.25">
      <c r="A423" t="s">
        <v>60</v>
      </c>
      <c r="B423" t="s">
        <v>14</v>
      </c>
      <c r="C423">
        <v>61726.65</v>
      </c>
    </row>
    <row r="424" spans="1:3" x14ac:dyDescent="0.25">
      <c r="A424" t="s">
        <v>64</v>
      </c>
      <c r="B424" t="s">
        <v>6</v>
      </c>
      <c r="C424">
        <v>22177</v>
      </c>
    </row>
    <row r="425" spans="1:3" x14ac:dyDescent="0.25">
      <c r="A425" t="s">
        <v>61</v>
      </c>
      <c r="B425" t="s">
        <v>9</v>
      </c>
      <c r="C425">
        <v>22312</v>
      </c>
    </row>
    <row r="426" spans="1:3" x14ac:dyDescent="0.25">
      <c r="A426" t="s">
        <v>65</v>
      </c>
      <c r="B426" t="s">
        <v>19</v>
      </c>
      <c r="C426">
        <v>45430.320000000007</v>
      </c>
    </row>
    <row r="427" spans="1:3" x14ac:dyDescent="0.25">
      <c r="A427" t="s">
        <v>61</v>
      </c>
      <c r="B427" t="s">
        <v>18</v>
      </c>
      <c r="C427">
        <v>22427.45</v>
      </c>
    </row>
    <row r="428" spans="1:3" x14ac:dyDescent="0.25">
      <c r="A428" t="s">
        <v>62</v>
      </c>
      <c r="B428" t="s">
        <v>20</v>
      </c>
      <c r="C428">
        <v>322621</v>
      </c>
    </row>
    <row r="429" spans="1:3" x14ac:dyDescent="0.25">
      <c r="A429" t="s">
        <v>63</v>
      </c>
      <c r="B429" t="s">
        <v>17</v>
      </c>
      <c r="C429">
        <v>576095.94999999995</v>
      </c>
    </row>
    <row r="430" spans="1:3" x14ac:dyDescent="0.25">
      <c r="A430" t="s">
        <v>61</v>
      </c>
      <c r="B430" t="s">
        <v>12</v>
      </c>
      <c r="C430">
        <v>23610.76</v>
      </c>
    </row>
    <row r="431" spans="1:3" x14ac:dyDescent="0.25">
      <c r="A431" t="s">
        <v>65</v>
      </c>
      <c r="B431" t="s">
        <v>11</v>
      </c>
      <c r="C431">
        <v>60276.759999999995</v>
      </c>
    </row>
    <row r="432" spans="1:3" x14ac:dyDescent="0.25">
      <c r="A432" t="s">
        <v>61</v>
      </c>
      <c r="B432" t="s">
        <v>22</v>
      </c>
      <c r="C432">
        <v>24535.16</v>
      </c>
    </row>
    <row r="433" spans="1:3" x14ac:dyDescent="0.25">
      <c r="A433" t="s">
        <v>64</v>
      </c>
      <c r="B433" t="s">
        <v>33</v>
      </c>
      <c r="C433">
        <v>1275954</v>
      </c>
    </row>
    <row r="434" spans="1:3" x14ac:dyDescent="0.25">
      <c r="A434" t="s">
        <v>61</v>
      </c>
      <c r="B434" t="s">
        <v>26</v>
      </c>
      <c r="C434">
        <v>25486.68</v>
      </c>
    </row>
    <row r="435" spans="1:3" x14ac:dyDescent="0.25">
      <c r="A435" t="s">
        <v>64</v>
      </c>
      <c r="B435" t="s">
        <v>41</v>
      </c>
      <c r="C435">
        <v>971585</v>
      </c>
    </row>
    <row r="436" spans="1:3" x14ac:dyDescent="0.25">
      <c r="A436" t="s">
        <v>65</v>
      </c>
      <c r="B436" t="s">
        <v>45</v>
      </c>
      <c r="C436">
        <v>249869.81</v>
      </c>
    </row>
    <row r="437" spans="1:3" x14ac:dyDescent="0.25">
      <c r="A437" t="s">
        <v>61</v>
      </c>
      <c r="B437" t="s">
        <v>23</v>
      </c>
      <c r="C437">
        <v>26940.89</v>
      </c>
    </row>
    <row r="438" spans="1:3" x14ac:dyDescent="0.25">
      <c r="A438" t="s">
        <v>65</v>
      </c>
      <c r="B438" t="s">
        <v>22</v>
      </c>
      <c r="C438">
        <v>151694.70000000001</v>
      </c>
    </row>
    <row r="439" spans="1:3" x14ac:dyDescent="0.25">
      <c r="A439" t="s">
        <v>64</v>
      </c>
      <c r="B439" t="s">
        <v>45</v>
      </c>
      <c r="C439">
        <v>968047</v>
      </c>
    </row>
    <row r="440" spans="1:3" x14ac:dyDescent="0.25">
      <c r="A440" t="s">
        <v>64</v>
      </c>
      <c r="B440" t="s">
        <v>16</v>
      </c>
      <c r="C440">
        <v>28190</v>
      </c>
    </row>
    <row r="441" spans="1:3" x14ac:dyDescent="0.25">
      <c r="A441" t="s">
        <v>61</v>
      </c>
      <c r="B441" t="s">
        <v>57</v>
      </c>
      <c r="C441">
        <v>28567.11</v>
      </c>
    </row>
    <row r="442" spans="1:3" x14ac:dyDescent="0.25">
      <c r="A442" t="s">
        <v>63</v>
      </c>
      <c r="B442" t="s">
        <v>14</v>
      </c>
      <c r="C442">
        <v>577761.57999999996</v>
      </c>
    </row>
    <row r="443" spans="1:3" x14ac:dyDescent="0.25">
      <c r="A443" t="s">
        <v>62</v>
      </c>
      <c r="B443" t="s">
        <v>57</v>
      </c>
      <c r="C443">
        <v>1654695</v>
      </c>
    </row>
    <row r="444" spans="1:3" x14ac:dyDescent="0.25">
      <c r="A444" t="s">
        <v>61</v>
      </c>
      <c r="B444" t="s">
        <v>16</v>
      </c>
      <c r="C444">
        <v>29288.31</v>
      </c>
    </row>
    <row r="445" spans="1:3" x14ac:dyDescent="0.25">
      <c r="A445" t="s">
        <v>60</v>
      </c>
      <c r="B445" t="s">
        <v>38</v>
      </c>
      <c r="C445">
        <v>175580.79</v>
      </c>
    </row>
    <row r="446" spans="1:3" x14ac:dyDescent="0.25">
      <c r="A446" t="s">
        <v>64</v>
      </c>
      <c r="B446" t="s">
        <v>37</v>
      </c>
      <c r="C446">
        <v>1249863</v>
      </c>
    </row>
    <row r="447" spans="1:3" x14ac:dyDescent="0.25">
      <c r="A447" t="s">
        <v>62</v>
      </c>
      <c r="B447" t="s">
        <v>30</v>
      </c>
      <c r="C447">
        <v>2222326</v>
      </c>
    </row>
    <row r="448" spans="1:3" x14ac:dyDescent="0.25">
      <c r="A448" t="s">
        <v>60</v>
      </c>
      <c r="B448" t="s">
        <v>46</v>
      </c>
      <c r="C448">
        <v>123547.81</v>
      </c>
    </row>
    <row r="449" spans="1:3" x14ac:dyDescent="0.25">
      <c r="A449" t="s">
        <v>62</v>
      </c>
      <c r="B449" t="s">
        <v>19</v>
      </c>
      <c r="C449">
        <v>468302</v>
      </c>
    </row>
    <row r="450" spans="1:3" x14ac:dyDescent="0.25">
      <c r="A450" t="s">
        <v>65</v>
      </c>
      <c r="B450" t="s">
        <v>47</v>
      </c>
      <c r="C450">
        <v>227882.35</v>
      </c>
    </row>
    <row r="451" spans="1:3" x14ac:dyDescent="0.25">
      <c r="A451" t="s">
        <v>60</v>
      </c>
      <c r="B451" t="s">
        <v>43</v>
      </c>
      <c r="C451">
        <v>73987.820000000007</v>
      </c>
    </row>
    <row r="452" spans="1:3" x14ac:dyDescent="0.25">
      <c r="A452" t="s">
        <v>61</v>
      </c>
      <c r="B452" t="s">
        <v>8</v>
      </c>
      <c r="C452">
        <v>32688</v>
      </c>
    </row>
    <row r="453" spans="1:3" x14ac:dyDescent="0.25">
      <c r="A453" t="s">
        <v>61</v>
      </c>
      <c r="B453" t="s">
        <v>5</v>
      </c>
      <c r="C453">
        <v>33849</v>
      </c>
    </row>
    <row r="454" spans="1:3" x14ac:dyDescent="0.25">
      <c r="A454" t="s">
        <v>63</v>
      </c>
      <c r="B454" t="s">
        <v>46</v>
      </c>
      <c r="C454">
        <v>1473706.79</v>
      </c>
    </row>
    <row r="455" spans="1:3" x14ac:dyDescent="0.25">
      <c r="A455" t="s">
        <v>61</v>
      </c>
      <c r="B455" t="s">
        <v>17</v>
      </c>
      <c r="C455">
        <v>34246.300000000003</v>
      </c>
    </row>
    <row r="456" spans="1:3" x14ac:dyDescent="0.25">
      <c r="A456" t="s">
        <v>65</v>
      </c>
      <c r="B456" t="s">
        <v>21</v>
      </c>
      <c r="C456">
        <v>93258.48</v>
      </c>
    </row>
    <row r="457" spans="1:3" x14ac:dyDescent="0.25">
      <c r="A457" t="s">
        <v>61</v>
      </c>
      <c r="B457" t="s">
        <v>38</v>
      </c>
      <c r="C457">
        <v>35082.519999999997</v>
      </c>
    </row>
    <row r="458" spans="1:3" x14ac:dyDescent="0.25">
      <c r="A458" t="s">
        <v>65</v>
      </c>
      <c r="B458" t="s">
        <v>16</v>
      </c>
      <c r="C458">
        <v>81354.799999999988</v>
      </c>
    </row>
    <row r="459" spans="1:3" x14ac:dyDescent="0.25">
      <c r="A459" t="s">
        <v>61</v>
      </c>
      <c r="B459" t="s">
        <v>21</v>
      </c>
      <c r="C459">
        <v>35424.6</v>
      </c>
    </row>
    <row r="460" spans="1:3" x14ac:dyDescent="0.25">
      <c r="A460" t="s">
        <v>63</v>
      </c>
      <c r="B460" t="s">
        <v>25</v>
      </c>
      <c r="C460">
        <v>906073.08</v>
      </c>
    </row>
    <row r="461" spans="1:3" x14ac:dyDescent="0.25">
      <c r="A461" t="s">
        <v>61</v>
      </c>
      <c r="B461" t="s">
        <v>55</v>
      </c>
      <c r="C461">
        <v>36439</v>
      </c>
    </row>
    <row r="462" spans="1:3" x14ac:dyDescent="0.25">
      <c r="A462" t="s">
        <v>65</v>
      </c>
      <c r="B462" t="s">
        <v>13</v>
      </c>
      <c r="C462">
        <v>86711.07</v>
      </c>
    </row>
    <row r="463" spans="1:3" x14ac:dyDescent="0.25">
      <c r="A463" t="s">
        <v>60</v>
      </c>
      <c r="B463" t="s">
        <v>18</v>
      </c>
      <c r="C463">
        <v>76430.92</v>
      </c>
    </row>
    <row r="464" spans="1:3" x14ac:dyDescent="0.25">
      <c r="A464" t="s">
        <v>63</v>
      </c>
      <c r="B464" t="s">
        <v>42</v>
      </c>
      <c r="C464">
        <v>1203512.1000000001</v>
      </c>
    </row>
    <row r="465" spans="1:3" x14ac:dyDescent="0.25">
      <c r="A465" t="s">
        <v>61</v>
      </c>
      <c r="B465" t="s">
        <v>48</v>
      </c>
      <c r="C465">
        <v>38659.279999999999</v>
      </c>
    </row>
    <row r="466" spans="1:3" x14ac:dyDescent="0.25">
      <c r="A466" t="s">
        <v>65</v>
      </c>
      <c r="B466" t="s">
        <v>17</v>
      </c>
      <c r="C466">
        <v>119946.86</v>
      </c>
    </row>
    <row r="467" spans="1:3" x14ac:dyDescent="0.25">
      <c r="A467" t="s">
        <v>62</v>
      </c>
      <c r="B467" t="s">
        <v>35</v>
      </c>
      <c r="C467">
        <v>1029340</v>
      </c>
    </row>
    <row r="468" spans="1:3" x14ac:dyDescent="0.25">
      <c r="A468" t="s">
        <v>63</v>
      </c>
      <c r="B468" t="s">
        <v>31</v>
      </c>
      <c r="C468">
        <v>1081373.6499999999</v>
      </c>
    </row>
    <row r="469" spans="1:3" x14ac:dyDescent="0.25">
      <c r="A469" t="s">
        <v>64</v>
      </c>
      <c r="B469" t="s">
        <v>57</v>
      </c>
      <c r="C469">
        <v>1158160</v>
      </c>
    </row>
    <row r="470" spans="1:3" x14ac:dyDescent="0.25">
      <c r="A470" t="s">
        <v>65</v>
      </c>
      <c r="B470" t="s">
        <v>15</v>
      </c>
      <c r="C470">
        <v>83936.209999999992</v>
      </c>
    </row>
    <row r="471" spans="1:3" x14ac:dyDescent="0.25">
      <c r="A471" t="s">
        <v>61</v>
      </c>
      <c r="B471" t="s">
        <v>3</v>
      </c>
      <c r="C471">
        <v>41209</v>
      </c>
    </row>
    <row r="472" spans="1:3" x14ac:dyDescent="0.25">
      <c r="A472" t="s">
        <v>65</v>
      </c>
      <c r="B472" t="s">
        <v>14</v>
      </c>
      <c r="C472">
        <v>108361.37999999999</v>
      </c>
    </row>
    <row r="473" spans="1:3" x14ac:dyDescent="0.25">
      <c r="A473" t="s">
        <v>62</v>
      </c>
      <c r="B473" t="s">
        <v>29</v>
      </c>
      <c r="C473">
        <v>2496242</v>
      </c>
    </row>
    <row r="474" spans="1:3" x14ac:dyDescent="0.25">
      <c r="A474" t="s">
        <v>65</v>
      </c>
      <c r="B474" t="s">
        <v>18</v>
      </c>
      <c r="C474">
        <v>112968.46</v>
      </c>
    </row>
    <row r="475" spans="1:3" x14ac:dyDescent="0.25">
      <c r="A475" t="s">
        <v>61</v>
      </c>
      <c r="B475" t="s">
        <v>20</v>
      </c>
      <c r="C475">
        <v>44674.559999999998</v>
      </c>
    </row>
    <row r="476" spans="1:3" x14ac:dyDescent="0.25">
      <c r="A476" t="s">
        <v>65</v>
      </c>
      <c r="B476" t="s">
        <v>43</v>
      </c>
      <c r="C476">
        <v>220947.63</v>
      </c>
    </row>
    <row r="477" spans="1:3" x14ac:dyDescent="0.25">
      <c r="A477" t="s">
        <v>63</v>
      </c>
      <c r="B477" t="s">
        <v>58</v>
      </c>
      <c r="C477">
        <v>1458956.5899999999</v>
      </c>
    </row>
    <row r="478" spans="1:3" x14ac:dyDescent="0.25">
      <c r="A478" t="s">
        <v>4</v>
      </c>
      <c r="B478" t="s">
        <v>31</v>
      </c>
      <c r="C478">
        <v>1063357.77</v>
      </c>
    </row>
    <row r="479" spans="1:3" x14ac:dyDescent="0.25">
      <c r="A479" t="s">
        <v>63</v>
      </c>
      <c r="B479" t="s">
        <v>38</v>
      </c>
      <c r="C479">
        <v>1092645.26</v>
      </c>
    </row>
    <row r="480" spans="1:3" x14ac:dyDescent="0.25">
      <c r="A480" t="s">
        <v>65</v>
      </c>
      <c r="B480" t="s">
        <v>23</v>
      </c>
      <c r="C480">
        <v>110738.97</v>
      </c>
    </row>
    <row r="481" spans="1:3" x14ac:dyDescent="0.25">
      <c r="A481" t="s">
        <v>61</v>
      </c>
      <c r="B481" t="s">
        <v>25</v>
      </c>
      <c r="C481">
        <v>50213.23</v>
      </c>
    </row>
    <row r="482" spans="1:3" x14ac:dyDescent="0.25">
      <c r="A482" t="s">
        <v>61</v>
      </c>
      <c r="B482" t="s">
        <v>24</v>
      </c>
      <c r="C482">
        <v>50451.57</v>
      </c>
    </row>
    <row r="483" spans="1:3" x14ac:dyDescent="0.25">
      <c r="A483" t="s">
        <v>63</v>
      </c>
      <c r="B483" t="s">
        <v>22</v>
      </c>
      <c r="C483">
        <v>510368.66000000003</v>
      </c>
    </row>
    <row r="484" spans="1:3" x14ac:dyDescent="0.25">
      <c r="A484" t="s">
        <v>62</v>
      </c>
      <c r="B484" t="s">
        <v>59</v>
      </c>
      <c r="C484">
        <v>1520451</v>
      </c>
    </row>
    <row r="485" spans="1:3" x14ac:dyDescent="0.25">
      <c r="A485" t="s">
        <v>62</v>
      </c>
      <c r="B485" t="s">
        <v>39</v>
      </c>
      <c r="C485">
        <v>1198336</v>
      </c>
    </row>
    <row r="486" spans="1:3" x14ac:dyDescent="0.25">
      <c r="A486" t="s">
        <v>64</v>
      </c>
      <c r="B486" t="s">
        <v>8</v>
      </c>
      <c r="C486">
        <v>54478</v>
      </c>
    </row>
    <row r="487" spans="1:3" x14ac:dyDescent="0.25">
      <c r="A487" t="s">
        <v>65</v>
      </c>
      <c r="B487" t="s">
        <v>41</v>
      </c>
      <c r="C487">
        <v>171150.64</v>
      </c>
    </row>
    <row r="488" spans="1:3" x14ac:dyDescent="0.25">
      <c r="A488" t="s">
        <v>65</v>
      </c>
      <c r="B488" t="s">
        <v>40</v>
      </c>
      <c r="C488">
        <v>129322.26000000001</v>
      </c>
    </row>
    <row r="489" spans="1:3" x14ac:dyDescent="0.25">
      <c r="A489" t="s">
        <v>63</v>
      </c>
      <c r="B489" t="s">
        <v>45</v>
      </c>
      <c r="C489">
        <v>1472345.77</v>
      </c>
    </row>
    <row r="490" spans="1:3" x14ac:dyDescent="0.25">
      <c r="A490" t="s">
        <v>65</v>
      </c>
      <c r="B490" t="s">
        <v>25</v>
      </c>
      <c r="C490">
        <v>140501.99</v>
      </c>
    </row>
    <row r="491" spans="1:3" x14ac:dyDescent="0.25">
      <c r="A491" t="s">
        <v>65</v>
      </c>
      <c r="B491" t="s">
        <v>39</v>
      </c>
      <c r="C491">
        <v>189373.56</v>
      </c>
    </row>
    <row r="492" spans="1:3" x14ac:dyDescent="0.25">
      <c r="A492" t="s">
        <v>65</v>
      </c>
      <c r="B492" t="s">
        <v>33</v>
      </c>
      <c r="C492">
        <v>310026.98</v>
      </c>
    </row>
    <row r="493" spans="1:3" x14ac:dyDescent="0.25">
      <c r="A493" t="s">
        <v>61</v>
      </c>
      <c r="B493" t="s">
        <v>43</v>
      </c>
      <c r="C493">
        <v>59073.36</v>
      </c>
    </row>
    <row r="494" spans="1:3" x14ac:dyDescent="0.25">
      <c r="A494" t="s">
        <v>65</v>
      </c>
      <c r="B494" t="s">
        <v>10</v>
      </c>
      <c r="C494">
        <v>147680.19</v>
      </c>
    </row>
    <row r="495" spans="1:3" x14ac:dyDescent="0.25">
      <c r="A495" t="s">
        <v>62</v>
      </c>
      <c r="B495" t="s">
        <v>36</v>
      </c>
      <c r="C495">
        <v>1067917</v>
      </c>
    </row>
    <row r="496" spans="1:3" x14ac:dyDescent="0.25">
      <c r="A496" t="s">
        <v>4</v>
      </c>
      <c r="B496" t="s">
        <v>28</v>
      </c>
      <c r="C496">
        <v>760228.79</v>
      </c>
    </row>
    <row r="497" spans="1:3" x14ac:dyDescent="0.25">
      <c r="A497" t="s">
        <v>65</v>
      </c>
      <c r="B497" t="s">
        <v>36</v>
      </c>
      <c r="C497">
        <v>147605.04999999999</v>
      </c>
    </row>
    <row r="498" spans="1:3" x14ac:dyDescent="0.25">
      <c r="A498" t="s">
        <v>65</v>
      </c>
      <c r="B498" t="s">
        <v>27</v>
      </c>
      <c r="C498">
        <v>160651.54999999999</v>
      </c>
    </row>
    <row r="499" spans="1:3" x14ac:dyDescent="0.25">
      <c r="A499" t="s">
        <v>61</v>
      </c>
      <c r="B499" t="s">
        <v>41</v>
      </c>
      <c r="C499">
        <v>62540.06</v>
      </c>
    </row>
    <row r="500" spans="1:3" x14ac:dyDescent="0.25">
      <c r="A500" t="s">
        <v>61</v>
      </c>
      <c r="B500" t="s">
        <v>35</v>
      </c>
      <c r="C500">
        <v>63277.16</v>
      </c>
    </row>
    <row r="501" spans="1:3" x14ac:dyDescent="0.25">
      <c r="A501" t="s">
        <v>61</v>
      </c>
      <c r="B501" t="s">
        <v>46</v>
      </c>
      <c r="C501">
        <v>63909.96</v>
      </c>
    </row>
    <row r="502" spans="1:3" x14ac:dyDescent="0.25">
      <c r="A502" t="s">
        <v>61</v>
      </c>
      <c r="B502" t="s">
        <v>36</v>
      </c>
      <c r="C502">
        <v>66051.240000000005</v>
      </c>
    </row>
    <row r="503" spans="1:3" x14ac:dyDescent="0.25">
      <c r="A503" t="s">
        <v>4</v>
      </c>
      <c r="B503" t="s">
        <v>32</v>
      </c>
      <c r="C503">
        <v>1323156</v>
      </c>
    </row>
    <row r="504" spans="1:3" x14ac:dyDescent="0.25">
      <c r="A504" t="s">
        <v>63</v>
      </c>
      <c r="B504" t="s">
        <v>29</v>
      </c>
      <c r="C504">
        <v>1445610.78</v>
      </c>
    </row>
    <row r="505" spans="1:3" x14ac:dyDescent="0.25">
      <c r="A505" t="s">
        <v>62</v>
      </c>
      <c r="B505" t="s">
        <v>58</v>
      </c>
      <c r="C505">
        <v>1587727</v>
      </c>
    </row>
    <row r="506" spans="1:3" x14ac:dyDescent="0.25">
      <c r="A506" t="s">
        <v>61</v>
      </c>
      <c r="B506" t="s">
        <v>34</v>
      </c>
      <c r="C506">
        <v>71859.289999999994</v>
      </c>
    </row>
    <row r="507" spans="1:3" x14ac:dyDescent="0.25">
      <c r="A507" t="s">
        <v>65</v>
      </c>
      <c r="B507" t="s">
        <v>26</v>
      </c>
      <c r="C507">
        <v>163330.23999999999</v>
      </c>
    </row>
    <row r="508" spans="1:3" x14ac:dyDescent="0.25">
      <c r="A508" t="s">
        <v>62</v>
      </c>
      <c r="B508" t="s">
        <v>32</v>
      </c>
      <c r="C508">
        <v>1544323</v>
      </c>
    </row>
    <row r="509" spans="1:3" x14ac:dyDescent="0.25">
      <c r="A509" t="s">
        <v>61</v>
      </c>
      <c r="B509" t="s">
        <v>30</v>
      </c>
      <c r="C509">
        <v>73212.94</v>
      </c>
    </row>
    <row r="510" spans="1:3" x14ac:dyDescent="0.25">
      <c r="A510" t="s">
        <v>62</v>
      </c>
      <c r="B510" t="s">
        <v>40</v>
      </c>
      <c r="C510">
        <v>912490</v>
      </c>
    </row>
    <row r="511" spans="1:3" x14ac:dyDescent="0.25">
      <c r="A511" t="s">
        <v>62</v>
      </c>
      <c r="B511" t="s">
        <v>43</v>
      </c>
      <c r="C511">
        <v>1185494</v>
      </c>
    </row>
    <row r="512" spans="1:3" x14ac:dyDescent="0.25">
      <c r="A512" t="s">
        <v>65</v>
      </c>
      <c r="B512" t="s">
        <v>35</v>
      </c>
      <c r="C512">
        <v>294724.09999999998</v>
      </c>
    </row>
    <row r="513" spans="1:3" x14ac:dyDescent="0.25">
      <c r="A513" t="s">
        <v>61</v>
      </c>
      <c r="B513" t="s">
        <v>40</v>
      </c>
      <c r="C513">
        <v>76094.83</v>
      </c>
    </row>
    <row r="514" spans="1:3" x14ac:dyDescent="0.25">
      <c r="A514" t="s">
        <v>65</v>
      </c>
      <c r="B514" t="s">
        <v>29</v>
      </c>
      <c r="C514">
        <v>281960.65000000002</v>
      </c>
    </row>
    <row r="515" spans="1:3" x14ac:dyDescent="0.25">
      <c r="A515" t="s">
        <v>61</v>
      </c>
      <c r="B515" t="s">
        <v>37</v>
      </c>
      <c r="C515">
        <v>76865.039999999994</v>
      </c>
    </row>
    <row r="516" spans="1:3" x14ac:dyDescent="0.25">
      <c r="A516" t="s">
        <v>63</v>
      </c>
      <c r="B516" t="s">
        <v>28</v>
      </c>
      <c r="C516">
        <v>740717.99</v>
      </c>
    </row>
    <row r="517" spans="1:3" x14ac:dyDescent="0.25">
      <c r="A517" t="s">
        <v>61</v>
      </c>
      <c r="B517" t="s">
        <v>53</v>
      </c>
      <c r="C517">
        <v>80454.48</v>
      </c>
    </row>
    <row r="518" spans="1:3" x14ac:dyDescent="0.25">
      <c r="A518" t="s">
        <v>62</v>
      </c>
      <c r="B518" t="s">
        <v>47</v>
      </c>
      <c r="C518">
        <v>1395768</v>
      </c>
    </row>
    <row r="519" spans="1:3" x14ac:dyDescent="0.25">
      <c r="A519" t="s">
        <v>63</v>
      </c>
      <c r="B519" t="s">
        <v>26</v>
      </c>
      <c r="C519">
        <v>1184835.76</v>
      </c>
    </row>
    <row r="520" spans="1:3" x14ac:dyDescent="0.25">
      <c r="A520" t="s">
        <v>62</v>
      </c>
      <c r="B520" t="s">
        <v>44</v>
      </c>
      <c r="C520">
        <v>1019481</v>
      </c>
    </row>
    <row r="521" spans="1:3" x14ac:dyDescent="0.25">
      <c r="A521" t="s">
        <v>61</v>
      </c>
      <c r="B521" t="s">
        <v>47</v>
      </c>
      <c r="C521">
        <v>84556.7</v>
      </c>
    </row>
    <row r="522" spans="1:3" x14ac:dyDescent="0.25">
      <c r="A522" t="s">
        <v>61</v>
      </c>
      <c r="B522" t="s">
        <v>44</v>
      </c>
      <c r="C522">
        <v>85040.74</v>
      </c>
    </row>
    <row r="523" spans="1:3" x14ac:dyDescent="0.25">
      <c r="A523" t="s">
        <v>61</v>
      </c>
      <c r="B523" t="s">
        <v>29</v>
      </c>
      <c r="C523">
        <v>87363.13</v>
      </c>
    </row>
    <row r="524" spans="1:3" x14ac:dyDescent="0.25">
      <c r="A524" t="s">
        <v>65</v>
      </c>
      <c r="B524" t="s">
        <v>46</v>
      </c>
      <c r="C524">
        <v>243200.53999999998</v>
      </c>
    </row>
    <row r="525" spans="1:3" x14ac:dyDescent="0.25">
      <c r="A525" t="s">
        <v>65</v>
      </c>
      <c r="B525" t="s">
        <v>31</v>
      </c>
      <c r="C525">
        <v>322799.28999999998</v>
      </c>
    </row>
    <row r="526" spans="1:3" x14ac:dyDescent="0.25">
      <c r="A526" t="s">
        <v>63</v>
      </c>
      <c r="B526" t="s">
        <v>34</v>
      </c>
      <c r="C526">
        <v>1624684.28</v>
      </c>
    </row>
    <row r="527" spans="1:3" x14ac:dyDescent="0.25">
      <c r="A527" t="s">
        <v>61</v>
      </c>
      <c r="B527" t="s">
        <v>31</v>
      </c>
      <c r="C527">
        <v>91974.11</v>
      </c>
    </row>
    <row r="528" spans="1:3" x14ac:dyDescent="0.25">
      <c r="A528" t="s">
        <v>61</v>
      </c>
      <c r="B528" t="s">
        <v>59</v>
      </c>
      <c r="C528">
        <v>92700.07</v>
      </c>
    </row>
    <row r="529" spans="1:3" x14ac:dyDescent="0.25">
      <c r="A529" t="s">
        <v>63</v>
      </c>
      <c r="B529" t="s">
        <v>30</v>
      </c>
      <c r="C529">
        <v>1899591.2200000002</v>
      </c>
    </row>
    <row r="530" spans="1:3" x14ac:dyDescent="0.25">
      <c r="A530" t="s">
        <v>61</v>
      </c>
      <c r="B530" t="s">
        <v>33</v>
      </c>
      <c r="C530">
        <v>97699.59</v>
      </c>
    </row>
    <row r="531" spans="1:3" x14ac:dyDescent="0.25">
      <c r="A531" t="s">
        <v>62</v>
      </c>
      <c r="B531" t="s">
        <v>18</v>
      </c>
      <c r="C531">
        <v>1461050</v>
      </c>
    </row>
    <row r="532" spans="1:3" x14ac:dyDescent="0.25">
      <c r="A532" t="s">
        <v>61</v>
      </c>
      <c r="B532" t="s">
        <v>45</v>
      </c>
      <c r="C532">
        <v>100607.39</v>
      </c>
    </row>
    <row r="533" spans="1:3" x14ac:dyDescent="0.25">
      <c r="A533" t="s">
        <v>65</v>
      </c>
      <c r="B533" t="s">
        <v>37</v>
      </c>
      <c r="C533">
        <v>354018.68</v>
      </c>
    </row>
    <row r="534" spans="1:3" x14ac:dyDescent="0.25">
      <c r="A534" t="s">
        <v>61</v>
      </c>
      <c r="B534" t="s">
        <v>28</v>
      </c>
      <c r="C534">
        <v>102576.94</v>
      </c>
    </row>
    <row r="535" spans="1:3" x14ac:dyDescent="0.25">
      <c r="A535" t="s">
        <v>4</v>
      </c>
      <c r="B535" t="s">
        <v>33</v>
      </c>
      <c r="C535">
        <v>1757273.4100000001</v>
      </c>
    </row>
    <row r="536" spans="1:3" x14ac:dyDescent="0.25">
      <c r="A536" t="s">
        <v>62</v>
      </c>
      <c r="B536" t="s">
        <v>37</v>
      </c>
      <c r="C536">
        <v>2036048</v>
      </c>
    </row>
    <row r="537" spans="1:3" x14ac:dyDescent="0.25">
      <c r="A537" t="s">
        <v>62</v>
      </c>
      <c r="B537" t="s">
        <v>33</v>
      </c>
      <c r="C537">
        <v>2423691</v>
      </c>
    </row>
    <row r="538" spans="1:3" x14ac:dyDescent="0.25">
      <c r="A538" t="s">
        <v>62</v>
      </c>
      <c r="B538" t="s">
        <v>34</v>
      </c>
      <c r="C538">
        <v>1979077</v>
      </c>
    </row>
    <row r="539" spans="1:3" x14ac:dyDescent="0.25">
      <c r="A539" t="s">
        <v>62</v>
      </c>
      <c r="B539" t="s">
        <v>45</v>
      </c>
      <c r="C539">
        <v>2080770</v>
      </c>
    </row>
    <row r="540" spans="1:3" x14ac:dyDescent="0.25">
      <c r="A540" t="s">
        <v>65</v>
      </c>
      <c r="B540" t="s">
        <v>28</v>
      </c>
      <c r="C540">
        <v>243602.40999999997</v>
      </c>
    </row>
    <row r="541" spans="1:3" x14ac:dyDescent="0.25">
      <c r="A541" t="s">
        <v>62</v>
      </c>
      <c r="B541" t="s">
        <v>41</v>
      </c>
      <c r="C541">
        <v>1742062</v>
      </c>
    </row>
    <row r="542" spans="1:3" x14ac:dyDescent="0.25">
      <c r="A542" t="s">
        <v>65</v>
      </c>
      <c r="B542" t="s">
        <v>32</v>
      </c>
      <c r="C542">
        <v>348927.07</v>
      </c>
    </row>
    <row r="543" spans="1:3" x14ac:dyDescent="0.25">
      <c r="A543" t="s">
        <v>4</v>
      </c>
      <c r="B543" t="s">
        <v>30</v>
      </c>
      <c r="C543">
        <v>2002746.68</v>
      </c>
    </row>
    <row r="544" spans="1:3" x14ac:dyDescent="0.25">
      <c r="A544" t="s">
        <v>64</v>
      </c>
      <c r="B544" t="s">
        <v>12</v>
      </c>
      <c r="C544">
        <v>114098</v>
      </c>
    </row>
    <row r="545" spans="1:3" x14ac:dyDescent="0.25">
      <c r="A545" t="s">
        <v>62</v>
      </c>
      <c r="B545" t="s">
        <v>42</v>
      </c>
      <c r="C545">
        <v>1663858</v>
      </c>
    </row>
    <row r="546" spans="1:3" x14ac:dyDescent="0.25">
      <c r="A546" t="s">
        <v>62</v>
      </c>
      <c r="B546" t="s">
        <v>38</v>
      </c>
      <c r="C546">
        <v>1847431</v>
      </c>
    </row>
    <row r="547" spans="1:3" x14ac:dyDescent="0.25">
      <c r="A547" t="s">
        <v>61</v>
      </c>
      <c r="B547" t="s">
        <v>32</v>
      </c>
      <c r="C547">
        <v>115497.38</v>
      </c>
    </row>
    <row r="548" spans="1:3" x14ac:dyDescent="0.25">
      <c r="A548" t="s">
        <v>4</v>
      </c>
      <c r="B548" t="s">
        <v>29</v>
      </c>
      <c r="C548">
        <v>1205547.3</v>
      </c>
    </row>
    <row r="549" spans="1:3" x14ac:dyDescent="0.25">
      <c r="A549" t="s">
        <v>64</v>
      </c>
      <c r="B549" t="s">
        <v>5</v>
      </c>
      <c r="C549">
        <v>123099</v>
      </c>
    </row>
    <row r="550" spans="1:3" x14ac:dyDescent="0.25">
      <c r="A550" t="s">
        <v>63</v>
      </c>
      <c r="B550" t="s">
        <v>59</v>
      </c>
      <c r="C550">
        <v>1377863.51</v>
      </c>
    </row>
    <row r="551" spans="1:3" x14ac:dyDescent="0.25">
      <c r="A551" t="s">
        <v>62</v>
      </c>
      <c r="B551" t="s">
        <v>46</v>
      </c>
      <c r="C551">
        <v>2062770</v>
      </c>
    </row>
    <row r="552" spans="1:3" x14ac:dyDescent="0.25">
      <c r="A552" t="s">
        <v>64</v>
      </c>
      <c r="B552" t="s">
        <v>15</v>
      </c>
      <c r="C552">
        <v>135986</v>
      </c>
    </row>
    <row r="553" spans="1:3" x14ac:dyDescent="0.25">
      <c r="A553" t="s">
        <v>65</v>
      </c>
      <c r="B553" t="s">
        <v>34</v>
      </c>
      <c r="C553">
        <v>354436.89</v>
      </c>
    </row>
    <row r="554" spans="1:3" x14ac:dyDescent="0.25">
      <c r="A554" t="s">
        <v>65</v>
      </c>
      <c r="B554" t="s">
        <v>30</v>
      </c>
      <c r="C554">
        <v>349998.02</v>
      </c>
    </row>
    <row r="555" spans="1:3" x14ac:dyDescent="0.25">
      <c r="A555" t="s">
        <v>65</v>
      </c>
      <c r="B555" t="s">
        <v>38</v>
      </c>
      <c r="C555">
        <v>302364.98</v>
      </c>
    </row>
    <row r="556" spans="1:3" x14ac:dyDescent="0.25">
      <c r="A556" t="s">
        <v>64</v>
      </c>
      <c r="B556" t="s">
        <v>7</v>
      </c>
      <c r="C556">
        <v>166716</v>
      </c>
    </row>
    <row r="557" spans="1:3" x14ac:dyDescent="0.25">
      <c r="A557" t="s">
        <v>64</v>
      </c>
      <c r="B557" t="s">
        <v>13</v>
      </c>
      <c r="C557">
        <v>195176</v>
      </c>
    </row>
    <row r="558" spans="1:3" x14ac:dyDescent="0.25">
      <c r="A558" t="s">
        <v>64</v>
      </c>
      <c r="B558" t="s">
        <v>14</v>
      </c>
      <c r="C558">
        <v>206813</v>
      </c>
    </row>
    <row r="559" spans="1:3" x14ac:dyDescent="0.25">
      <c r="A559" t="s">
        <v>64</v>
      </c>
      <c r="B559" t="s">
        <v>11</v>
      </c>
      <c r="C559">
        <v>215531</v>
      </c>
    </row>
    <row r="560" spans="1:3" x14ac:dyDescent="0.25">
      <c r="A560" t="s">
        <v>64</v>
      </c>
      <c r="B560" t="s">
        <v>10</v>
      </c>
      <c r="C560">
        <v>355056</v>
      </c>
    </row>
    <row r="561" spans="1:3" x14ac:dyDescent="0.25">
      <c r="A561" t="s">
        <v>64</v>
      </c>
      <c r="B561" t="s">
        <v>9</v>
      </c>
      <c r="C561">
        <v>362769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E4233-D84A-48D5-A3EC-C94F256ED5EC}">
  <dimension ref="A1:C561"/>
  <sheetViews>
    <sheetView workbookViewId="0"/>
  </sheetViews>
  <sheetFormatPr defaultRowHeight="15" x14ac:dyDescent="0.25"/>
  <cols>
    <col min="1" max="1" width="17.42578125" bestFit="1" customWidth="1"/>
    <col min="2" max="2" width="15" bestFit="1" customWidth="1"/>
    <col min="3" max="3" width="20.42578125" bestFit="1" customWidth="1"/>
  </cols>
  <sheetData>
    <row r="1" spans="1:3" x14ac:dyDescent="0.25">
      <c r="A1" t="s">
        <v>1</v>
      </c>
      <c r="B1" t="s">
        <v>0</v>
      </c>
      <c r="C1" t="s">
        <v>70</v>
      </c>
    </row>
    <row r="2" spans="1:3" x14ac:dyDescent="0.25">
      <c r="A2" t="s">
        <v>4</v>
      </c>
      <c r="B2" t="s">
        <v>3</v>
      </c>
      <c r="C2">
        <v>4833992</v>
      </c>
    </row>
    <row r="3" spans="1:3" x14ac:dyDescent="0.25">
      <c r="A3" t="s">
        <v>4</v>
      </c>
      <c r="B3" t="s">
        <v>5</v>
      </c>
      <c r="C3">
        <v>4885283</v>
      </c>
    </row>
    <row r="4" spans="1:3" x14ac:dyDescent="0.25">
      <c r="A4" t="s">
        <v>4</v>
      </c>
      <c r="B4" t="s">
        <v>6</v>
      </c>
      <c r="C4">
        <v>5122153</v>
      </c>
    </row>
    <row r="5" spans="1:3" x14ac:dyDescent="0.25">
      <c r="A5" t="s">
        <v>4</v>
      </c>
      <c r="B5" t="s">
        <v>7</v>
      </c>
      <c r="C5">
        <v>5056817</v>
      </c>
    </row>
    <row r="6" spans="1:3" x14ac:dyDescent="0.25">
      <c r="A6" t="s">
        <v>4</v>
      </c>
      <c r="B6" t="s">
        <v>8</v>
      </c>
      <c r="C6">
        <v>5062980</v>
      </c>
    </row>
    <row r="7" spans="1:3" x14ac:dyDescent="0.25">
      <c r="A7" t="s">
        <v>4</v>
      </c>
      <c r="B7" t="s">
        <v>9</v>
      </c>
      <c r="C7">
        <v>5669264</v>
      </c>
    </row>
    <row r="8" spans="1:3" x14ac:dyDescent="0.25">
      <c r="A8" t="s">
        <v>4</v>
      </c>
      <c r="B8" t="s">
        <v>10</v>
      </c>
      <c r="C8">
        <v>5837486</v>
      </c>
    </row>
    <row r="9" spans="1:3" x14ac:dyDescent="0.25">
      <c r="A9" t="s">
        <v>4</v>
      </c>
      <c r="B9" t="s">
        <v>11</v>
      </c>
      <c r="C9">
        <v>5581210</v>
      </c>
    </row>
    <row r="10" spans="1:3" x14ac:dyDescent="0.25">
      <c r="A10" t="s">
        <v>4</v>
      </c>
      <c r="B10" t="s">
        <v>12</v>
      </c>
      <c r="C10">
        <v>5527195</v>
      </c>
    </row>
    <row r="11" spans="1:3" x14ac:dyDescent="0.25">
      <c r="A11" t="s">
        <v>4</v>
      </c>
      <c r="B11" t="s">
        <v>13</v>
      </c>
      <c r="C11">
        <v>6108540</v>
      </c>
    </row>
    <row r="12" spans="1:3" x14ac:dyDescent="0.25">
      <c r="A12" t="s">
        <v>4</v>
      </c>
      <c r="B12" t="s">
        <v>14</v>
      </c>
      <c r="C12">
        <v>6370948</v>
      </c>
    </row>
    <row r="13" spans="1:3" x14ac:dyDescent="0.25">
      <c r="A13" t="s">
        <v>4</v>
      </c>
      <c r="B13" t="s">
        <v>15</v>
      </c>
      <c r="C13">
        <v>5950882</v>
      </c>
    </row>
    <row r="14" spans="1:3" x14ac:dyDescent="0.25">
      <c r="A14" t="s">
        <v>4</v>
      </c>
      <c r="B14" t="s">
        <v>16</v>
      </c>
      <c r="C14">
        <v>6031446</v>
      </c>
    </row>
    <row r="15" spans="1:3" x14ac:dyDescent="0.25">
      <c r="A15" t="s">
        <v>4</v>
      </c>
      <c r="B15" t="s">
        <v>17</v>
      </c>
      <c r="C15">
        <v>6447195</v>
      </c>
    </row>
    <row r="16" spans="1:3" x14ac:dyDescent="0.25">
      <c r="A16" t="s">
        <v>4</v>
      </c>
      <c r="B16" t="s">
        <v>18</v>
      </c>
      <c r="C16">
        <v>6421755</v>
      </c>
    </row>
    <row r="17" spans="1:3" x14ac:dyDescent="0.25">
      <c r="A17" t="s">
        <v>4</v>
      </c>
      <c r="B17" t="s">
        <v>19</v>
      </c>
      <c r="C17">
        <v>5924671</v>
      </c>
    </row>
    <row r="18" spans="1:3" x14ac:dyDescent="0.25">
      <c r="A18" t="s">
        <v>4</v>
      </c>
      <c r="B18" t="s">
        <v>20</v>
      </c>
      <c r="C18">
        <v>6085027</v>
      </c>
    </row>
    <row r="19" spans="1:3" x14ac:dyDescent="0.25">
      <c r="A19" t="s">
        <v>4</v>
      </c>
      <c r="B19" t="s">
        <v>21</v>
      </c>
      <c r="C19">
        <v>6436819</v>
      </c>
    </row>
    <row r="20" spans="1:3" x14ac:dyDescent="0.25">
      <c r="A20" t="s">
        <v>4</v>
      </c>
      <c r="B20" t="s">
        <v>22</v>
      </c>
      <c r="C20">
        <v>6816608</v>
      </c>
    </row>
    <row r="21" spans="1:3" x14ac:dyDescent="0.25">
      <c r="A21" t="s">
        <v>4</v>
      </c>
      <c r="B21" t="s">
        <v>23</v>
      </c>
      <c r="C21">
        <v>6421791</v>
      </c>
    </row>
    <row r="22" spans="1:3" x14ac:dyDescent="0.25">
      <c r="A22" t="s">
        <v>4</v>
      </c>
      <c r="B22" t="s">
        <v>24</v>
      </c>
      <c r="C22">
        <v>6468962</v>
      </c>
    </row>
    <row r="23" spans="1:3" x14ac:dyDescent="0.25">
      <c r="A23" t="s">
        <v>4</v>
      </c>
      <c r="B23" t="s">
        <v>25</v>
      </c>
      <c r="C23">
        <v>7152840</v>
      </c>
    </row>
    <row r="24" spans="1:3" x14ac:dyDescent="0.25">
      <c r="A24" t="s">
        <v>4</v>
      </c>
      <c r="B24" t="s">
        <v>26</v>
      </c>
      <c r="C24">
        <v>7054509</v>
      </c>
    </row>
    <row r="25" spans="1:3" x14ac:dyDescent="0.25">
      <c r="A25" t="s">
        <v>4</v>
      </c>
      <c r="B25" t="s">
        <v>27</v>
      </c>
      <c r="C25">
        <v>6464080</v>
      </c>
    </row>
    <row r="26" spans="1:3" x14ac:dyDescent="0.25">
      <c r="A26" t="s">
        <v>4</v>
      </c>
      <c r="B26" t="s">
        <v>28</v>
      </c>
      <c r="C26">
        <v>6368699</v>
      </c>
    </row>
    <row r="27" spans="1:3" x14ac:dyDescent="0.25">
      <c r="A27" t="s">
        <v>4</v>
      </c>
      <c r="B27" t="s">
        <v>29</v>
      </c>
      <c r="C27">
        <v>6818839</v>
      </c>
    </row>
    <row r="28" spans="1:3" x14ac:dyDescent="0.25">
      <c r="A28" t="s">
        <v>4</v>
      </c>
      <c r="B28" t="s">
        <v>30</v>
      </c>
      <c r="C28">
        <v>10732390</v>
      </c>
    </row>
    <row r="29" spans="1:3" x14ac:dyDescent="0.25">
      <c r="A29" t="s">
        <v>4</v>
      </c>
      <c r="B29" t="s">
        <v>31</v>
      </c>
      <c r="C29">
        <v>9660917</v>
      </c>
    </row>
    <row r="30" spans="1:3" x14ac:dyDescent="0.25">
      <c r="A30" t="s">
        <v>4</v>
      </c>
      <c r="B30" t="s">
        <v>32</v>
      </c>
      <c r="C30">
        <v>9497067</v>
      </c>
    </row>
    <row r="31" spans="1:3" x14ac:dyDescent="0.25">
      <c r="A31" t="s">
        <v>4</v>
      </c>
      <c r="B31" t="s">
        <v>33</v>
      </c>
      <c r="C31">
        <v>10449889</v>
      </c>
    </row>
    <row r="32" spans="1:3" x14ac:dyDescent="0.25">
      <c r="A32" t="s">
        <v>4</v>
      </c>
      <c r="B32" t="s">
        <v>34</v>
      </c>
      <c r="C32">
        <v>10688632</v>
      </c>
    </row>
    <row r="33" spans="1:3" x14ac:dyDescent="0.25">
      <c r="A33" t="s">
        <v>4</v>
      </c>
      <c r="B33" t="s">
        <v>35</v>
      </c>
      <c r="C33">
        <v>9785949</v>
      </c>
    </row>
    <row r="34" spans="1:3" x14ac:dyDescent="0.25">
      <c r="A34" t="s">
        <v>4</v>
      </c>
      <c r="B34" t="s">
        <v>36</v>
      </c>
      <c r="C34">
        <v>9620621</v>
      </c>
    </row>
    <row r="35" spans="1:3" x14ac:dyDescent="0.25">
      <c r="A35" t="s">
        <v>4</v>
      </c>
      <c r="B35" t="s">
        <v>37</v>
      </c>
      <c r="C35">
        <v>11101812</v>
      </c>
    </row>
    <row r="36" spans="1:3" x14ac:dyDescent="0.25">
      <c r="A36" t="s">
        <v>4</v>
      </c>
      <c r="B36" t="s">
        <v>38</v>
      </c>
      <c r="C36">
        <v>10875392</v>
      </c>
    </row>
    <row r="37" spans="1:3" x14ac:dyDescent="0.25">
      <c r="A37" t="s">
        <v>4</v>
      </c>
      <c r="B37" t="s">
        <v>39</v>
      </c>
      <c r="C37">
        <v>10597491</v>
      </c>
    </row>
    <row r="38" spans="1:3" x14ac:dyDescent="0.25">
      <c r="A38" t="s">
        <v>4</v>
      </c>
      <c r="B38" t="s">
        <v>40</v>
      </c>
      <c r="C38">
        <v>10398290</v>
      </c>
    </row>
    <row r="39" spans="1:3" x14ac:dyDescent="0.25">
      <c r="A39" t="s">
        <v>4</v>
      </c>
      <c r="B39" t="s">
        <v>41</v>
      </c>
      <c r="C39">
        <v>11639695</v>
      </c>
    </row>
    <row r="40" spans="1:3" x14ac:dyDescent="0.25">
      <c r="A40" t="s">
        <v>4</v>
      </c>
      <c r="B40" t="s">
        <v>42</v>
      </c>
      <c r="C40">
        <v>11556035</v>
      </c>
    </row>
    <row r="41" spans="1:3" x14ac:dyDescent="0.25">
      <c r="A41" t="s">
        <v>4</v>
      </c>
      <c r="B41" t="s">
        <v>43</v>
      </c>
      <c r="C41">
        <v>10935794</v>
      </c>
    </row>
    <row r="42" spans="1:3" x14ac:dyDescent="0.25">
      <c r="A42" t="s">
        <v>4</v>
      </c>
      <c r="B42" t="s">
        <v>44</v>
      </c>
      <c r="C42">
        <v>10580585</v>
      </c>
    </row>
    <row r="43" spans="1:3" x14ac:dyDescent="0.25">
      <c r="A43" t="s">
        <v>4</v>
      </c>
      <c r="B43" t="s">
        <v>45</v>
      </c>
      <c r="C43">
        <v>11958148</v>
      </c>
    </row>
    <row r="44" spans="1:3" x14ac:dyDescent="0.25">
      <c r="A44" t="s">
        <v>4</v>
      </c>
      <c r="B44" t="s">
        <v>46</v>
      </c>
      <c r="C44">
        <v>11909847</v>
      </c>
    </row>
    <row r="45" spans="1:3" x14ac:dyDescent="0.25">
      <c r="A45" t="s">
        <v>4</v>
      </c>
      <c r="B45" t="s">
        <v>47</v>
      </c>
      <c r="C45">
        <v>11312544</v>
      </c>
    </row>
    <row r="46" spans="1:3" x14ac:dyDescent="0.25">
      <c r="A46" t="s">
        <v>4</v>
      </c>
      <c r="B46" t="s">
        <v>48</v>
      </c>
      <c r="C46">
        <v>8513799</v>
      </c>
    </row>
    <row r="47" spans="1:3" x14ac:dyDescent="0.25">
      <c r="A47" t="s">
        <v>4</v>
      </c>
      <c r="B47" t="s">
        <v>49</v>
      </c>
      <c r="C47">
        <v>1622052</v>
      </c>
    </row>
    <row r="48" spans="1:3" x14ac:dyDescent="0.25">
      <c r="A48" t="s">
        <v>4</v>
      </c>
      <c r="B48" t="s">
        <v>50</v>
      </c>
      <c r="C48">
        <v>3172266</v>
      </c>
    </row>
    <row r="49" spans="1:3" x14ac:dyDescent="0.25">
      <c r="A49" t="s">
        <v>4</v>
      </c>
      <c r="B49" t="s">
        <v>51</v>
      </c>
      <c r="C49">
        <v>4026894</v>
      </c>
    </row>
    <row r="50" spans="1:3" x14ac:dyDescent="0.25">
      <c r="A50" t="s">
        <v>4</v>
      </c>
      <c r="B50" t="s">
        <v>52</v>
      </c>
      <c r="C50">
        <v>4007498</v>
      </c>
    </row>
    <row r="51" spans="1:3" x14ac:dyDescent="0.25">
      <c r="A51" t="s">
        <v>4</v>
      </c>
      <c r="B51" t="s">
        <v>53</v>
      </c>
      <c r="C51">
        <v>7477994</v>
      </c>
    </row>
    <row r="52" spans="1:3" x14ac:dyDescent="0.25">
      <c r="A52" t="s">
        <v>4</v>
      </c>
      <c r="B52" t="s">
        <v>54</v>
      </c>
      <c r="C52">
        <v>8968261</v>
      </c>
    </row>
    <row r="53" spans="1:3" x14ac:dyDescent="0.25">
      <c r="A53" t="s">
        <v>4</v>
      </c>
      <c r="B53" t="s">
        <v>55</v>
      </c>
      <c r="C53">
        <v>9426277</v>
      </c>
    </row>
    <row r="54" spans="1:3" x14ac:dyDescent="0.25">
      <c r="A54" t="s">
        <v>4</v>
      </c>
      <c r="B54" t="s">
        <v>56</v>
      </c>
      <c r="C54">
        <v>8895596</v>
      </c>
    </row>
    <row r="55" spans="1:3" x14ac:dyDescent="0.25">
      <c r="A55" t="s">
        <v>4</v>
      </c>
      <c r="B55" t="s">
        <v>57</v>
      </c>
      <c r="C55">
        <v>13421089</v>
      </c>
    </row>
    <row r="56" spans="1:3" x14ac:dyDescent="0.25">
      <c r="A56" t="s">
        <v>4</v>
      </c>
      <c r="B56" t="s">
        <v>58</v>
      </c>
      <c r="C56">
        <v>13461344</v>
      </c>
    </row>
    <row r="57" spans="1:3" x14ac:dyDescent="0.25">
      <c r="A57" t="s">
        <v>4</v>
      </c>
      <c r="B57" t="s">
        <v>59</v>
      </c>
      <c r="C57">
        <v>13187523</v>
      </c>
    </row>
    <row r="58" spans="1:3" x14ac:dyDescent="0.25">
      <c r="A58" t="s">
        <v>60</v>
      </c>
      <c r="B58" t="s">
        <v>3</v>
      </c>
      <c r="C58">
        <v>288681</v>
      </c>
    </row>
    <row r="59" spans="1:3" x14ac:dyDescent="0.25">
      <c r="A59" t="s">
        <v>60</v>
      </c>
      <c r="B59" t="s">
        <v>5</v>
      </c>
      <c r="C59">
        <v>292031</v>
      </c>
    </row>
    <row r="60" spans="1:3" x14ac:dyDescent="0.25">
      <c r="A60" t="s">
        <v>60</v>
      </c>
      <c r="B60" t="s">
        <v>6</v>
      </c>
      <c r="C60">
        <v>305664</v>
      </c>
    </row>
    <row r="61" spans="1:3" x14ac:dyDescent="0.25">
      <c r="A61" t="s">
        <v>60</v>
      </c>
      <c r="B61" t="s">
        <v>7</v>
      </c>
      <c r="C61">
        <v>297243</v>
      </c>
    </row>
    <row r="62" spans="1:3" x14ac:dyDescent="0.25">
      <c r="A62" t="s">
        <v>60</v>
      </c>
      <c r="B62" t="s">
        <v>8</v>
      </c>
      <c r="C62">
        <v>298389</v>
      </c>
    </row>
    <row r="63" spans="1:3" x14ac:dyDescent="0.25">
      <c r="A63" t="s">
        <v>60</v>
      </c>
      <c r="B63" t="s">
        <v>9</v>
      </c>
      <c r="C63">
        <v>315923</v>
      </c>
    </row>
    <row r="64" spans="1:3" x14ac:dyDescent="0.25">
      <c r="A64" t="s">
        <v>60</v>
      </c>
      <c r="B64" t="s">
        <v>10</v>
      </c>
      <c r="C64">
        <v>352700</v>
      </c>
    </row>
    <row r="65" spans="1:3" x14ac:dyDescent="0.25">
      <c r="A65" t="s">
        <v>60</v>
      </c>
      <c r="B65" t="s">
        <v>11</v>
      </c>
      <c r="C65">
        <v>345209</v>
      </c>
    </row>
    <row r="66" spans="1:3" x14ac:dyDescent="0.25">
      <c r="A66" t="s">
        <v>60</v>
      </c>
      <c r="B66" t="s">
        <v>12</v>
      </c>
      <c r="C66">
        <v>366149</v>
      </c>
    </row>
    <row r="67" spans="1:3" x14ac:dyDescent="0.25">
      <c r="A67" t="s">
        <v>60</v>
      </c>
      <c r="B67" t="s">
        <v>13</v>
      </c>
      <c r="C67">
        <v>395065</v>
      </c>
    </row>
    <row r="68" spans="1:3" x14ac:dyDescent="0.25">
      <c r="A68" t="s">
        <v>60</v>
      </c>
      <c r="B68" t="s">
        <v>14</v>
      </c>
      <c r="C68">
        <v>455894</v>
      </c>
    </row>
    <row r="69" spans="1:3" x14ac:dyDescent="0.25">
      <c r="A69" t="s">
        <v>60</v>
      </c>
      <c r="B69" t="s">
        <v>15</v>
      </c>
      <c r="C69">
        <v>434013</v>
      </c>
    </row>
    <row r="70" spans="1:3" x14ac:dyDescent="0.25">
      <c r="A70" t="s">
        <v>60</v>
      </c>
      <c r="B70" t="s">
        <v>16</v>
      </c>
      <c r="C70">
        <v>435555</v>
      </c>
    </row>
    <row r="71" spans="1:3" x14ac:dyDescent="0.25">
      <c r="A71" t="s">
        <v>60</v>
      </c>
      <c r="B71" t="s">
        <v>17</v>
      </c>
      <c r="C71">
        <v>484618</v>
      </c>
    </row>
    <row r="72" spans="1:3" x14ac:dyDescent="0.25">
      <c r="A72" t="s">
        <v>60</v>
      </c>
      <c r="B72" t="s">
        <v>18</v>
      </c>
      <c r="C72">
        <v>549365</v>
      </c>
    </row>
    <row r="73" spans="1:3" x14ac:dyDescent="0.25">
      <c r="A73" t="s">
        <v>60</v>
      </c>
      <c r="B73" t="s">
        <v>19</v>
      </c>
      <c r="C73">
        <v>493032</v>
      </c>
    </row>
    <row r="74" spans="1:3" x14ac:dyDescent="0.25">
      <c r="A74" t="s">
        <v>60</v>
      </c>
      <c r="B74" t="s">
        <v>20</v>
      </c>
      <c r="C74">
        <v>490248</v>
      </c>
    </row>
    <row r="75" spans="1:3" x14ac:dyDescent="0.25">
      <c r="A75" t="s">
        <v>60</v>
      </c>
      <c r="B75" t="s">
        <v>21</v>
      </c>
      <c r="C75">
        <v>533994</v>
      </c>
    </row>
    <row r="76" spans="1:3" x14ac:dyDescent="0.25">
      <c r="A76" t="s">
        <v>60</v>
      </c>
      <c r="B76" t="s">
        <v>22</v>
      </c>
      <c r="C76">
        <v>599361</v>
      </c>
    </row>
    <row r="77" spans="1:3" x14ac:dyDescent="0.25">
      <c r="A77" t="s">
        <v>60</v>
      </c>
      <c r="B77" t="s">
        <v>23</v>
      </c>
      <c r="C77">
        <v>531951</v>
      </c>
    </row>
    <row r="78" spans="1:3" x14ac:dyDescent="0.25">
      <c r="A78" t="s">
        <v>60</v>
      </c>
      <c r="B78" t="s">
        <v>24</v>
      </c>
      <c r="C78">
        <v>524328</v>
      </c>
    </row>
    <row r="79" spans="1:3" x14ac:dyDescent="0.25">
      <c r="A79" t="s">
        <v>60</v>
      </c>
      <c r="B79" t="s">
        <v>25</v>
      </c>
      <c r="C79">
        <v>574778</v>
      </c>
    </row>
    <row r="80" spans="1:3" x14ac:dyDescent="0.25">
      <c r="A80" t="s">
        <v>60</v>
      </c>
      <c r="B80" t="s">
        <v>26</v>
      </c>
      <c r="C80">
        <v>638414</v>
      </c>
    </row>
    <row r="81" spans="1:3" x14ac:dyDescent="0.25">
      <c r="A81" t="s">
        <v>60</v>
      </c>
      <c r="B81" t="s">
        <v>27</v>
      </c>
      <c r="C81">
        <v>573681</v>
      </c>
    </row>
    <row r="82" spans="1:3" x14ac:dyDescent="0.25">
      <c r="A82" t="s">
        <v>60</v>
      </c>
      <c r="B82" t="s">
        <v>28</v>
      </c>
      <c r="C82">
        <v>539206</v>
      </c>
    </row>
    <row r="83" spans="1:3" x14ac:dyDescent="0.25">
      <c r="A83" t="s">
        <v>60</v>
      </c>
      <c r="B83" t="s">
        <v>29</v>
      </c>
      <c r="C83">
        <v>570254</v>
      </c>
    </row>
    <row r="84" spans="1:3" x14ac:dyDescent="0.25">
      <c r="A84" t="s">
        <v>60</v>
      </c>
      <c r="B84" t="s">
        <v>30</v>
      </c>
      <c r="C84">
        <v>630657</v>
      </c>
    </row>
    <row r="85" spans="1:3" x14ac:dyDescent="0.25">
      <c r="A85" t="s">
        <v>60</v>
      </c>
      <c r="B85" t="s">
        <v>31</v>
      </c>
      <c r="C85">
        <v>573040</v>
      </c>
    </row>
    <row r="86" spans="1:3" x14ac:dyDescent="0.25">
      <c r="A86" t="s">
        <v>60</v>
      </c>
      <c r="B86" t="s">
        <v>32</v>
      </c>
      <c r="C86">
        <v>547790</v>
      </c>
    </row>
    <row r="87" spans="1:3" x14ac:dyDescent="0.25">
      <c r="A87" t="s">
        <v>60</v>
      </c>
      <c r="B87" t="s">
        <v>33</v>
      </c>
      <c r="C87">
        <v>592384</v>
      </c>
    </row>
    <row r="88" spans="1:3" x14ac:dyDescent="0.25">
      <c r="A88" t="s">
        <v>60</v>
      </c>
      <c r="B88" t="s">
        <v>34</v>
      </c>
      <c r="C88">
        <v>670114</v>
      </c>
    </row>
    <row r="89" spans="1:3" x14ac:dyDescent="0.25">
      <c r="A89" t="s">
        <v>60</v>
      </c>
      <c r="B89" t="s">
        <v>35</v>
      </c>
      <c r="C89">
        <v>631236</v>
      </c>
    </row>
    <row r="90" spans="1:3" x14ac:dyDescent="0.25">
      <c r="A90" t="s">
        <v>60</v>
      </c>
      <c r="B90" t="s">
        <v>36</v>
      </c>
      <c r="C90">
        <v>612543</v>
      </c>
    </row>
    <row r="91" spans="1:3" x14ac:dyDescent="0.25">
      <c r="A91" t="s">
        <v>60</v>
      </c>
      <c r="B91" t="s">
        <v>37</v>
      </c>
      <c r="C91">
        <v>673608</v>
      </c>
    </row>
    <row r="92" spans="1:3" x14ac:dyDescent="0.25">
      <c r="A92" t="s">
        <v>60</v>
      </c>
      <c r="B92" t="s">
        <v>38</v>
      </c>
      <c r="C92">
        <v>717812</v>
      </c>
    </row>
    <row r="93" spans="1:3" x14ac:dyDescent="0.25">
      <c r="A93" t="s">
        <v>60</v>
      </c>
      <c r="B93" t="s">
        <v>39</v>
      </c>
      <c r="C93">
        <v>683957</v>
      </c>
    </row>
    <row r="94" spans="1:3" x14ac:dyDescent="0.25">
      <c r="A94" t="s">
        <v>60</v>
      </c>
      <c r="B94" t="s">
        <v>40</v>
      </c>
      <c r="C94">
        <v>663413</v>
      </c>
    </row>
    <row r="95" spans="1:3" x14ac:dyDescent="0.25">
      <c r="A95" t="s">
        <v>60</v>
      </c>
      <c r="B95" t="s">
        <v>41</v>
      </c>
      <c r="C95">
        <v>713127</v>
      </c>
    </row>
    <row r="96" spans="1:3" x14ac:dyDescent="0.25">
      <c r="A96" t="s">
        <v>60</v>
      </c>
      <c r="B96" t="s">
        <v>42</v>
      </c>
      <c r="C96">
        <v>756313</v>
      </c>
    </row>
    <row r="97" spans="1:3" x14ac:dyDescent="0.25">
      <c r="A97" t="s">
        <v>60</v>
      </c>
      <c r="B97" t="s">
        <v>43</v>
      </c>
      <c r="C97">
        <v>694362</v>
      </c>
    </row>
    <row r="98" spans="1:3" x14ac:dyDescent="0.25">
      <c r="A98" t="s">
        <v>60</v>
      </c>
      <c r="B98" t="s">
        <v>44</v>
      </c>
      <c r="C98">
        <v>656089</v>
      </c>
    </row>
    <row r="99" spans="1:3" x14ac:dyDescent="0.25">
      <c r="A99" t="s">
        <v>60</v>
      </c>
      <c r="B99" t="s">
        <v>45</v>
      </c>
      <c r="C99">
        <v>711670</v>
      </c>
    </row>
    <row r="100" spans="1:3" x14ac:dyDescent="0.25">
      <c r="A100" t="s">
        <v>60</v>
      </c>
      <c r="B100" t="s">
        <v>46</v>
      </c>
      <c r="C100">
        <v>754607</v>
      </c>
    </row>
    <row r="101" spans="1:3" x14ac:dyDescent="0.25">
      <c r="A101" t="s">
        <v>60</v>
      </c>
      <c r="B101" t="s">
        <v>47</v>
      </c>
      <c r="C101">
        <v>707765</v>
      </c>
    </row>
    <row r="102" spans="1:3" x14ac:dyDescent="0.25">
      <c r="A102" t="s">
        <v>60</v>
      </c>
      <c r="B102" t="s">
        <v>48</v>
      </c>
      <c r="C102">
        <v>559162</v>
      </c>
    </row>
    <row r="103" spans="1:3" x14ac:dyDescent="0.25">
      <c r="A103" t="s">
        <v>60</v>
      </c>
      <c r="B103" t="s">
        <v>49</v>
      </c>
      <c r="C103">
        <v>59502</v>
      </c>
    </row>
    <row r="104" spans="1:3" x14ac:dyDescent="0.25">
      <c r="A104" t="s">
        <v>60</v>
      </c>
      <c r="B104" t="s">
        <v>50</v>
      </c>
      <c r="C104">
        <v>76089</v>
      </c>
    </row>
    <row r="105" spans="1:3" x14ac:dyDescent="0.25">
      <c r="A105" t="s">
        <v>60</v>
      </c>
      <c r="B105" t="s">
        <v>51</v>
      </c>
      <c r="C105">
        <v>148442</v>
      </c>
    </row>
    <row r="106" spans="1:3" x14ac:dyDescent="0.25">
      <c r="A106" t="s">
        <v>60</v>
      </c>
      <c r="B106" t="s">
        <v>52</v>
      </c>
      <c r="C106">
        <v>181505</v>
      </c>
    </row>
    <row r="107" spans="1:3" x14ac:dyDescent="0.25">
      <c r="A107" t="s">
        <v>60</v>
      </c>
      <c r="B107" t="s">
        <v>53</v>
      </c>
      <c r="C107">
        <v>410021</v>
      </c>
    </row>
    <row r="108" spans="1:3" x14ac:dyDescent="0.25">
      <c r="A108" t="s">
        <v>60</v>
      </c>
      <c r="B108" t="s">
        <v>54</v>
      </c>
      <c r="C108">
        <v>508019</v>
      </c>
    </row>
    <row r="109" spans="1:3" x14ac:dyDescent="0.25">
      <c r="A109" t="s">
        <v>60</v>
      </c>
      <c r="B109" t="s">
        <v>55</v>
      </c>
      <c r="C109">
        <v>493331</v>
      </c>
    </row>
    <row r="110" spans="1:3" x14ac:dyDescent="0.25">
      <c r="A110" t="s">
        <v>60</v>
      </c>
      <c r="B110" t="s">
        <v>56</v>
      </c>
      <c r="C110">
        <v>476541</v>
      </c>
    </row>
    <row r="111" spans="1:3" x14ac:dyDescent="0.25">
      <c r="A111" t="s">
        <v>60</v>
      </c>
      <c r="B111" t="s">
        <v>57</v>
      </c>
      <c r="C111">
        <v>689973</v>
      </c>
    </row>
    <row r="112" spans="1:3" x14ac:dyDescent="0.25">
      <c r="A112" t="s">
        <v>60</v>
      </c>
      <c r="B112" t="s">
        <v>58</v>
      </c>
      <c r="C112">
        <v>740429</v>
      </c>
    </row>
    <row r="113" spans="1:3" x14ac:dyDescent="0.25">
      <c r="A113" t="s">
        <v>60</v>
      </c>
      <c r="B113" t="s">
        <v>59</v>
      </c>
      <c r="C113">
        <v>729398</v>
      </c>
    </row>
    <row r="114" spans="1:3" x14ac:dyDescent="0.25">
      <c r="A114" t="s">
        <v>61</v>
      </c>
      <c r="B114" t="s">
        <v>3</v>
      </c>
      <c r="C114">
        <v>137009</v>
      </c>
    </row>
    <row r="115" spans="1:3" x14ac:dyDescent="0.25">
      <c r="A115" t="s">
        <v>61</v>
      </c>
      <c r="B115" t="s">
        <v>5</v>
      </c>
      <c r="C115">
        <v>142158</v>
      </c>
    </row>
    <row r="116" spans="1:3" x14ac:dyDescent="0.25">
      <c r="A116" t="s">
        <v>61</v>
      </c>
      <c r="B116" t="s">
        <v>6</v>
      </c>
      <c r="C116">
        <v>127478</v>
      </c>
    </row>
    <row r="117" spans="1:3" x14ac:dyDescent="0.25">
      <c r="A117" t="s">
        <v>61</v>
      </c>
      <c r="B117" t="s">
        <v>7</v>
      </c>
      <c r="C117">
        <v>129820</v>
      </c>
    </row>
    <row r="118" spans="1:3" x14ac:dyDescent="0.25">
      <c r="A118" t="s">
        <v>61</v>
      </c>
      <c r="B118" t="s">
        <v>8</v>
      </c>
      <c r="C118">
        <v>163657</v>
      </c>
    </row>
    <row r="119" spans="1:3" x14ac:dyDescent="0.25">
      <c r="A119" t="s">
        <v>61</v>
      </c>
      <c r="B119" t="s">
        <v>9</v>
      </c>
      <c r="C119">
        <v>160115</v>
      </c>
    </row>
    <row r="120" spans="1:3" x14ac:dyDescent="0.25">
      <c r="A120" t="s">
        <v>61</v>
      </c>
      <c r="B120" t="s">
        <v>10</v>
      </c>
      <c r="C120">
        <v>155981</v>
      </c>
    </row>
    <row r="121" spans="1:3" x14ac:dyDescent="0.25">
      <c r="A121" t="s">
        <v>61</v>
      </c>
      <c r="B121" t="s">
        <v>11</v>
      </c>
      <c r="C121">
        <v>155706</v>
      </c>
    </row>
    <row r="122" spans="1:3" x14ac:dyDescent="0.25">
      <c r="A122" t="s">
        <v>61</v>
      </c>
      <c r="B122" t="s">
        <v>12</v>
      </c>
      <c r="C122">
        <v>185072</v>
      </c>
    </row>
    <row r="123" spans="1:3" x14ac:dyDescent="0.25">
      <c r="A123" t="s">
        <v>61</v>
      </c>
      <c r="B123" t="s">
        <v>13</v>
      </c>
      <c r="C123">
        <v>190996</v>
      </c>
    </row>
    <row r="124" spans="1:3" x14ac:dyDescent="0.25">
      <c r="A124" t="s">
        <v>61</v>
      </c>
      <c r="B124" t="s">
        <v>14</v>
      </c>
      <c r="C124">
        <v>182623</v>
      </c>
    </row>
    <row r="125" spans="1:3" x14ac:dyDescent="0.25">
      <c r="A125" t="s">
        <v>61</v>
      </c>
      <c r="B125" t="s">
        <v>15</v>
      </c>
      <c r="C125">
        <v>186346</v>
      </c>
    </row>
    <row r="126" spans="1:3" x14ac:dyDescent="0.25">
      <c r="A126" t="s">
        <v>61</v>
      </c>
      <c r="B126" t="s">
        <v>16</v>
      </c>
      <c r="C126">
        <v>227560</v>
      </c>
    </row>
    <row r="127" spans="1:3" x14ac:dyDescent="0.25">
      <c r="A127" t="s">
        <v>61</v>
      </c>
      <c r="B127" t="s">
        <v>17</v>
      </c>
      <c r="C127">
        <v>220333</v>
      </c>
    </row>
    <row r="128" spans="1:3" x14ac:dyDescent="0.25">
      <c r="A128" t="s">
        <v>61</v>
      </c>
      <c r="B128" t="s">
        <v>18</v>
      </c>
      <c r="C128">
        <v>207146</v>
      </c>
    </row>
    <row r="129" spans="1:3" x14ac:dyDescent="0.25">
      <c r="A129" t="s">
        <v>61</v>
      </c>
      <c r="B129" t="s">
        <v>19</v>
      </c>
      <c r="C129">
        <v>214198</v>
      </c>
    </row>
    <row r="130" spans="1:3" x14ac:dyDescent="0.25">
      <c r="A130" t="s">
        <v>61</v>
      </c>
      <c r="B130" t="s">
        <v>20</v>
      </c>
      <c r="C130">
        <v>261539</v>
      </c>
    </row>
    <row r="131" spans="1:3" x14ac:dyDescent="0.25">
      <c r="A131" t="s">
        <v>61</v>
      </c>
      <c r="B131" t="s">
        <v>21</v>
      </c>
      <c r="C131">
        <v>245123</v>
      </c>
    </row>
    <row r="132" spans="1:3" x14ac:dyDescent="0.25">
      <c r="A132" t="s">
        <v>61</v>
      </c>
      <c r="B132" t="s">
        <v>22</v>
      </c>
      <c r="C132">
        <v>220014</v>
      </c>
    </row>
    <row r="133" spans="1:3" x14ac:dyDescent="0.25">
      <c r="A133" t="s">
        <v>61</v>
      </c>
      <c r="B133" t="s">
        <v>23</v>
      </c>
      <c r="C133">
        <v>231148</v>
      </c>
    </row>
    <row r="134" spans="1:3" x14ac:dyDescent="0.25">
      <c r="A134" t="s">
        <v>61</v>
      </c>
      <c r="B134" t="s">
        <v>24</v>
      </c>
      <c r="C134">
        <v>291666</v>
      </c>
    </row>
    <row r="135" spans="1:3" x14ac:dyDescent="0.25">
      <c r="A135" t="s">
        <v>61</v>
      </c>
      <c r="B135" t="s">
        <v>25</v>
      </c>
      <c r="C135">
        <v>280662</v>
      </c>
    </row>
    <row r="136" spans="1:3" x14ac:dyDescent="0.25">
      <c r="A136" t="s">
        <v>61</v>
      </c>
      <c r="B136" t="s">
        <v>26</v>
      </c>
      <c r="C136">
        <v>256670</v>
      </c>
    </row>
    <row r="137" spans="1:3" x14ac:dyDescent="0.25">
      <c r="A137" t="s">
        <v>61</v>
      </c>
      <c r="B137" t="s">
        <v>27</v>
      </c>
      <c r="C137">
        <v>270664</v>
      </c>
    </row>
    <row r="138" spans="1:3" x14ac:dyDescent="0.25">
      <c r="A138" t="s">
        <v>61</v>
      </c>
      <c r="B138" t="s">
        <v>28</v>
      </c>
      <c r="C138">
        <v>318194</v>
      </c>
    </row>
    <row r="139" spans="1:3" x14ac:dyDescent="0.25">
      <c r="A139" t="s">
        <v>61</v>
      </c>
      <c r="B139" t="s">
        <v>29</v>
      </c>
      <c r="C139">
        <v>311020</v>
      </c>
    </row>
    <row r="140" spans="1:3" x14ac:dyDescent="0.25">
      <c r="A140" t="s">
        <v>61</v>
      </c>
      <c r="B140" t="s">
        <v>30</v>
      </c>
      <c r="C140">
        <v>290034</v>
      </c>
    </row>
    <row r="141" spans="1:3" x14ac:dyDescent="0.25">
      <c r="A141" t="s">
        <v>61</v>
      </c>
      <c r="B141" t="s">
        <v>31</v>
      </c>
      <c r="C141">
        <v>302260</v>
      </c>
    </row>
    <row r="142" spans="1:3" x14ac:dyDescent="0.25">
      <c r="A142" t="s">
        <v>61</v>
      </c>
      <c r="B142" t="s">
        <v>32</v>
      </c>
      <c r="C142">
        <v>337294</v>
      </c>
    </row>
    <row r="143" spans="1:3" x14ac:dyDescent="0.25">
      <c r="A143" t="s">
        <v>61</v>
      </c>
      <c r="B143" t="s">
        <v>33</v>
      </c>
      <c r="C143">
        <v>332758</v>
      </c>
    </row>
    <row r="144" spans="1:3" x14ac:dyDescent="0.25">
      <c r="A144" t="s">
        <v>61</v>
      </c>
      <c r="B144" t="s">
        <v>34</v>
      </c>
      <c r="C144">
        <v>322088</v>
      </c>
    </row>
    <row r="145" spans="1:3" x14ac:dyDescent="0.25">
      <c r="A145" t="s">
        <v>61</v>
      </c>
      <c r="B145" t="s">
        <v>35</v>
      </c>
      <c r="C145">
        <v>325175</v>
      </c>
    </row>
    <row r="146" spans="1:3" x14ac:dyDescent="0.25">
      <c r="A146" t="s">
        <v>61</v>
      </c>
      <c r="B146" t="s">
        <v>36</v>
      </c>
      <c r="C146">
        <v>362002</v>
      </c>
    </row>
    <row r="147" spans="1:3" x14ac:dyDescent="0.25">
      <c r="A147" t="s">
        <v>61</v>
      </c>
      <c r="B147" t="s">
        <v>37</v>
      </c>
      <c r="C147">
        <v>384424</v>
      </c>
    </row>
    <row r="148" spans="1:3" x14ac:dyDescent="0.25">
      <c r="A148" t="s">
        <v>61</v>
      </c>
      <c r="B148" t="s">
        <v>38</v>
      </c>
      <c r="C148">
        <v>333708</v>
      </c>
    </row>
    <row r="149" spans="1:3" x14ac:dyDescent="0.25">
      <c r="A149" t="s">
        <v>61</v>
      </c>
      <c r="B149" t="s">
        <v>39</v>
      </c>
      <c r="C149">
        <v>363482</v>
      </c>
    </row>
    <row r="150" spans="1:3" x14ac:dyDescent="0.25">
      <c r="A150" t="s">
        <v>61</v>
      </c>
      <c r="B150" t="s">
        <v>40</v>
      </c>
      <c r="C150">
        <v>412681</v>
      </c>
    </row>
    <row r="151" spans="1:3" x14ac:dyDescent="0.25">
      <c r="A151" t="s">
        <v>61</v>
      </c>
      <c r="B151" t="s">
        <v>41</v>
      </c>
      <c r="C151">
        <v>415566</v>
      </c>
    </row>
    <row r="152" spans="1:3" x14ac:dyDescent="0.25">
      <c r="A152" t="s">
        <v>61</v>
      </c>
      <c r="B152" t="s">
        <v>42</v>
      </c>
      <c r="C152">
        <v>373414</v>
      </c>
    </row>
    <row r="153" spans="1:3" x14ac:dyDescent="0.25">
      <c r="A153" t="s">
        <v>61</v>
      </c>
      <c r="B153" t="s">
        <v>43</v>
      </c>
      <c r="C153">
        <v>395148</v>
      </c>
    </row>
    <row r="154" spans="1:3" x14ac:dyDescent="0.25">
      <c r="A154" t="s">
        <v>61</v>
      </c>
      <c r="B154" t="s">
        <v>44</v>
      </c>
      <c r="C154">
        <v>429661</v>
      </c>
    </row>
    <row r="155" spans="1:3" x14ac:dyDescent="0.25">
      <c r="A155" t="s">
        <v>61</v>
      </c>
      <c r="B155" t="s">
        <v>45</v>
      </c>
      <c r="C155">
        <v>466846</v>
      </c>
    </row>
    <row r="156" spans="1:3" x14ac:dyDescent="0.25">
      <c r="A156" t="s">
        <v>61</v>
      </c>
      <c r="B156" t="s">
        <v>46</v>
      </c>
      <c r="C156">
        <v>410866</v>
      </c>
    </row>
    <row r="157" spans="1:3" x14ac:dyDescent="0.25">
      <c r="A157" t="s">
        <v>61</v>
      </c>
      <c r="B157" t="s">
        <v>47</v>
      </c>
      <c r="C157">
        <v>438613</v>
      </c>
    </row>
    <row r="158" spans="1:3" x14ac:dyDescent="0.25">
      <c r="A158" t="s">
        <v>61</v>
      </c>
      <c r="B158" t="s">
        <v>48</v>
      </c>
      <c r="C158">
        <v>386605</v>
      </c>
    </row>
    <row r="159" spans="1:3" x14ac:dyDescent="0.25">
      <c r="A159" t="s">
        <v>61</v>
      </c>
      <c r="B159" t="s">
        <v>49</v>
      </c>
      <c r="C159">
        <v>120468</v>
      </c>
    </row>
    <row r="160" spans="1:3" x14ac:dyDescent="0.25">
      <c r="A160" t="s">
        <v>61</v>
      </c>
      <c r="B160" t="s">
        <v>50</v>
      </c>
      <c r="C160">
        <v>185964</v>
      </c>
    </row>
    <row r="161" spans="1:3" x14ac:dyDescent="0.25">
      <c r="A161" t="s">
        <v>61</v>
      </c>
      <c r="B161" t="s">
        <v>51</v>
      </c>
      <c r="C161">
        <v>233413</v>
      </c>
    </row>
    <row r="162" spans="1:3" x14ac:dyDescent="0.25">
      <c r="A162" t="s">
        <v>61</v>
      </c>
      <c r="B162" t="s">
        <v>52</v>
      </c>
      <c r="C162">
        <v>263786</v>
      </c>
    </row>
    <row r="163" spans="1:3" x14ac:dyDescent="0.25">
      <c r="A163" t="s">
        <v>61</v>
      </c>
      <c r="B163" t="s">
        <v>53</v>
      </c>
      <c r="C163">
        <v>471883</v>
      </c>
    </row>
    <row r="164" spans="1:3" x14ac:dyDescent="0.25">
      <c r="A164" t="s">
        <v>61</v>
      </c>
      <c r="B164" t="s">
        <v>54</v>
      </c>
      <c r="C164">
        <v>459464</v>
      </c>
    </row>
    <row r="165" spans="1:3" x14ac:dyDescent="0.25">
      <c r="A165" t="s">
        <v>61</v>
      </c>
      <c r="B165" t="s">
        <v>55</v>
      </c>
      <c r="C165">
        <v>496884</v>
      </c>
    </row>
    <row r="166" spans="1:3" x14ac:dyDescent="0.25">
      <c r="A166" t="s">
        <v>61</v>
      </c>
      <c r="B166" t="s">
        <v>56</v>
      </c>
      <c r="C166">
        <v>500108</v>
      </c>
    </row>
    <row r="167" spans="1:3" x14ac:dyDescent="0.25">
      <c r="A167" t="s">
        <v>61</v>
      </c>
      <c r="B167" t="s">
        <v>57</v>
      </c>
      <c r="C167">
        <v>629846</v>
      </c>
    </row>
    <row r="168" spans="1:3" x14ac:dyDescent="0.25">
      <c r="A168" t="s">
        <v>61</v>
      </c>
      <c r="B168" t="s">
        <v>58</v>
      </c>
      <c r="C168">
        <v>560323</v>
      </c>
    </row>
    <row r="169" spans="1:3" x14ac:dyDescent="0.25">
      <c r="A169" t="s">
        <v>61</v>
      </c>
      <c r="B169" t="s">
        <v>59</v>
      </c>
      <c r="C169">
        <v>611549</v>
      </c>
    </row>
    <row r="170" spans="1:3" x14ac:dyDescent="0.25">
      <c r="A170" t="s">
        <v>62</v>
      </c>
      <c r="B170" t="s">
        <v>3</v>
      </c>
      <c r="C170">
        <v>4232092</v>
      </c>
    </row>
    <row r="171" spans="1:3" x14ac:dyDescent="0.25">
      <c r="A171" t="s">
        <v>62</v>
      </c>
      <c r="B171" t="s">
        <v>5</v>
      </c>
      <c r="C171">
        <v>4560316</v>
      </c>
    </row>
    <row r="172" spans="1:3" x14ac:dyDescent="0.25">
      <c r="A172" t="s">
        <v>62</v>
      </c>
      <c r="B172" t="s">
        <v>6</v>
      </c>
      <c r="C172">
        <v>4795666</v>
      </c>
    </row>
    <row r="173" spans="1:3" x14ac:dyDescent="0.25">
      <c r="A173" t="s">
        <v>62</v>
      </c>
      <c r="B173" t="s">
        <v>7</v>
      </c>
      <c r="C173">
        <v>4458506</v>
      </c>
    </row>
    <row r="174" spans="1:3" x14ac:dyDescent="0.25">
      <c r="A174" t="s">
        <v>62</v>
      </c>
      <c r="B174" t="s">
        <v>8</v>
      </c>
      <c r="C174">
        <v>6879207</v>
      </c>
    </row>
    <row r="175" spans="1:3" x14ac:dyDescent="0.25">
      <c r="A175" t="s">
        <v>62</v>
      </c>
      <c r="B175" t="s">
        <v>9</v>
      </c>
      <c r="C175">
        <v>8205193</v>
      </c>
    </row>
    <row r="176" spans="1:3" x14ac:dyDescent="0.25">
      <c r="A176" t="s">
        <v>62</v>
      </c>
      <c r="B176" t="s">
        <v>10</v>
      </c>
      <c r="C176">
        <v>8987339</v>
      </c>
    </row>
    <row r="177" spans="1:3" x14ac:dyDescent="0.25">
      <c r="A177" t="s">
        <v>62</v>
      </c>
      <c r="B177" t="s">
        <v>11</v>
      </c>
      <c r="C177">
        <v>7821963</v>
      </c>
    </row>
    <row r="178" spans="1:3" x14ac:dyDescent="0.25">
      <c r="A178" t="s">
        <v>62</v>
      </c>
      <c r="B178" t="s">
        <v>12</v>
      </c>
      <c r="C178">
        <v>7798984</v>
      </c>
    </row>
    <row r="179" spans="1:3" x14ac:dyDescent="0.25">
      <c r="A179" t="s">
        <v>62</v>
      </c>
      <c r="B179" t="s">
        <v>13</v>
      </c>
      <c r="C179">
        <v>9174016</v>
      </c>
    </row>
    <row r="180" spans="1:3" x14ac:dyDescent="0.25">
      <c r="A180" t="s">
        <v>62</v>
      </c>
      <c r="B180" t="s">
        <v>14</v>
      </c>
      <c r="C180">
        <v>9889548</v>
      </c>
    </row>
    <row r="181" spans="1:3" x14ac:dyDescent="0.25">
      <c r="A181" t="s">
        <v>62</v>
      </c>
      <c r="B181" t="s">
        <v>15</v>
      </c>
      <c r="C181">
        <v>8453169</v>
      </c>
    </row>
    <row r="182" spans="1:3" x14ac:dyDescent="0.25">
      <c r="A182" t="s">
        <v>62</v>
      </c>
      <c r="B182" t="s">
        <v>16</v>
      </c>
      <c r="C182">
        <v>8493286</v>
      </c>
    </row>
    <row r="183" spans="1:3" x14ac:dyDescent="0.25">
      <c r="A183" t="s">
        <v>62</v>
      </c>
      <c r="B183" t="s">
        <v>17</v>
      </c>
      <c r="C183">
        <v>9793003</v>
      </c>
    </row>
    <row r="184" spans="1:3" x14ac:dyDescent="0.25">
      <c r="A184" t="s">
        <v>62</v>
      </c>
      <c r="B184" t="s">
        <v>18</v>
      </c>
      <c r="C184">
        <v>9979901</v>
      </c>
    </row>
    <row r="185" spans="1:3" x14ac:dyDescent="0.25">
      <c r="A185" t="s">
        <v>62</v>
      </c>
      <c r="B185" t="s">
        <v>19</v>
      </c>
      <c r="C185">
        <v>8650777</v>
      </c>
    </row>
    <row r="186" spans="1:3" x14ac:dyDescent="0.25">
      <c r="A186" t="s">
        <v>62</v>
      </c>
      <c r="B186" t="s">
        <v>20</v>
      </c>
      <c r="C186">
        <v>8509156</v>
      </c>
    </row>
    <row r="187" spans="1:3" x14ac:dyDescent="0.25">
      <c r="A187" t="s">
        <v>62</v>
      </c>
      <c r="B187" t="s">
        <v>21</v>
      </c>
      <c r="C187">
        <v>9715984</v>
      </c>
    </row>
    <row r="188" spans="1:3" x14ac:dyDescent="0.25">
      <c r="A188" t="s">
        <v>62</v>
      </c>
      <c r="B188" t="s">
        <v>22</v>
      </c>
      <c r="C188">
        <v>10506964</v>
      </c>
    </row>
    <row r="189" spans="1:3" x14ac:dyDescent="0.25">
      <c r="A189" t="s">
        <v>62</v>
      </c>
      <c r="B189" t="s">
        <v>23</v>
      </c>
      <c r="C189">
        <v>9086090</v>
      </c>
    </row>
    <row r="190" spans="1:3" x14ac:dyDescent="0.25">
      <c r="A190" t="s">
        <v>62</v>
      </c>
      <c r="B190" t="s">
        <v>24</v>
      </c>
      <c r="C190">
        <v>8927524</v>
      </c>
    </row>
    <row r="191" spans="1:3" x14ac:dyDescent="0.25">
      <c r="A191" t="s">
        <v>62</v>
      </c>
      <c r="B191" t="s">
        <v>25</v>
      </c>
      <c r="C191">
        <v>10639874</v>
      </c>
    </row>
    <row r="192" spans="1:3" x14ac:dyDescent="0.25">
      <c r="A192" t="s">
        <v>62</v>
      </c>
      <c r="B192" t="s">
        <v>26</v>
      </c>
      <c r="C192">
        <v>11200109</v>
      </c>
    </row>
    <row r="193" spans="1:3" x14ac:dyDescent="0.25">
      <c r="A193" t="s">
        <v>62</v>
      </c>
      <c r="B193" t="s">
        <v>27</v>
      </c>
      <c r="C193">
        <v>9658947</v>
      </c>
    </row>
    <row r="194" spans="1:3" x14ac:dyDescent="0.25">
      <c r="A194" t="s">
        <v>62</v>
      </c>
      <c r="B194" t="s">
        <v>28</v>
      </c>
      <c r="C194">
        <v>9407610</v>
      </c>
    </row>
    <row r="195" spans="1:3" x14ac:dyDescent="0.25">
      <c r="A195" t="s">
        <v>62</v>
      </c>
      <c r="B195" t="s">
        <v>29</v>
      </c>
      <c r="C195">
        <v>10728156</v>
      </c>
    </row>
    <row r="196" spans="1:3" x14ac:dyDescent="0.25">
      <c r="A196" t="s">
        <v>62</v>
      </c>
      <c r="B196" t="s">
        <v>30</v>
      </c>
      <c r="C196">
        <v>11130420</v>
      </c>
    </row>
    <row r="197" spans="1:3" x14ac:dyDescent="0.25">
      <c r="A197" t="s">
        <v>62</v>
      </c>
      <c r="B197" t="s">
        <v>31</v>
      </c>
      <c r="C197">
        <v>9549581</v>
      </c>
    </row>
    <row r="198" spans="1:3" x14ac:dyDescent="0.25">
      <c r="A198" t="s">
        <v>62</v>
      </c>
      <c r="B198" t="s">
        <v>32</v>
      </c>
      <c r="C198">
        <v>9295664</v>
      </c>
    </row>
    <row r="199" spans="1:3" x14ac:dyDescent="0.25">
      <c r="A199" t="s">
        <v>62</v>
      </c>
      <c r="B199" t="s">
        <v>33</v>
      </c>
      <c r="C199">
        <v>10502902</v>
      </c>
    </row>
    <row r="200" spans="1:3" x14ac:dyDescent="0.25">
      <c r="A200" t="s">
        <v>62</v>
      </c>
      <c r="B200" t="s">
        <v>34</v>
      </c>
      <c r="C200">
        <v>10539944</v>
      </c>
    </row>
    <row r="201" spans="1:3" x14ac:dyDescent="0.25">
      <c r="A201" t="s">
        <v>62</v>
      </c>
      <c r="B201" t="s">
        <v>35</v>
      </c>
      <c r="C201">
        <v>9511103</v>
      </c>
    </row>
    <row r="202" spans="1:3" x14ac:dyDescent="0.25">
      <c r="A202" t="s">
        <v>62</v>
      </c>
      <c r="B202" t="s">
        <v>36</v>
      </c>
      <c r="C202">
        <v>9196079</v>
      </c>
    </row>
    <row r="203" spans="1:3" x14ac:dyDescent="0.25">
      <c r="A203" t="s">
        <v>62</v>
      </c>
      <c r="B203" t="s">
        <v>37</v>
      </c>
      <c r="C203">
        <v>10854712</v>
      </c>
    </row>
    <row r="204" spans="1:3" x14ac:dyDescent="0.25">
      <c r="A204" t="s">
        <v>62</v>
      </c>
      <c r="B204" t="s">
        <v>38</v>
      </c>
      <c r="C204">
        <v>11125371</v>
      </c>
    </row>
    <row r="205" spans="1:3" x14ac:dyDescent="0.25">
      <c r="A205" t="s">
        <v>62</v>
      </c>
      <c r="B205" t="s">
        <v>39</v>
      </c>
      <c r="C205">
        <v>10299698</v>
      </c>
    </row>
    <row r="206" spans="1:3" x14ac:dyDescent="0.25">
      <c r="A206" t="s">
        <v>62</v>
      </c>
      <c r="B206" t="s">
        <v>40</v>
      </c>
      <c r="C206">
        <v>10007942</v>
      </c>
    </row>
    <row r="207" spans="1:3" x14ac:dyDescent="0.25">
      <c r="A207" t="s">
        <v>62</v>
      </c>
      <c r="B207" t="s">
        <v>41</v>
      </c>
      <c r="C207">
        <v>11809326</v>
      </c>
    </row>
    <row r="208" spans="1:3" x14ac:dyDescent="0.25">
      <c r="A208" t="s">
        <v>62</v>
      </c>
      <c r="B208" t="s">
        <v>42</v>
      </c>
      <c r="C208">
        <v>11988481</v>
      </c>
    </row>
    <row r="209" spans="1:3" x14ac:dyDescent="0.25">
      <c r="A209" t="s">
        <v>62</v>
      </c>
      <c r="B209" t="s">
        <v>43</v>
      </c>
      <c r="C209">
        <v>10732248</v>
      </c>
    </row>
    <row r="210" spans="1:3" x14ac:dyDescent="0.25">
      <c r="A210" t="s">
        <v>62</v>
      </c>
      <c r="B210" t="s">
        <v>44</v>
      </c>
      <c r="C210">
        <v>10491457</v>
      </c>
    </row>
    <row r="211" spans="1:3" x14ac:dyDescent="0.25">
      <c r="A211" t="s">
        <v>62</v>
      </c>
      <c r="B211" t="s">
        <v>45</v>
      </c>
      <c r="C211">
        <v>12581479</v>
      </c>
    </row>
    <row r="212" spans="1:3" x14ac:dyDescent="0.25">
      <c r="A212" t="s">
        <v>62</v>
      </c>
      <c r="B212" t="s">
        <v>46</v>
      </c>
      <c r="C212">
        <v>12590411</v>
      </c>
    </row>
    <row r="213" spans="1:3" x14ac:dyDescent="0.25">
      <c r="A213" t="s">
        <v>62</v>
      </c>
      <c r="B213" t="s">
        <v>47</v>
      </c>
      <c r="C213">
        <v>11462988</v>
      </c>
    </row>
    <row r="214" spans="1:3" x14ac:dyDescent="0.25">
      <c r="A214" t="s">
        <v>62</v>
      </c>
      <c r="B214" t="s">
        <v>48</v>
      </c>
      <c r="C214">
        <v>8606741</v>
      </c>
    </row>
    <row r="215" spans="1:3" x14ac:dyDescent="0.25">
      <c r="A215" t="s">
        <v>62</v>
      </c>
      <c r="B215" t="s">
        <v>49</v>
      </c>
      <c r="C215">
        <v>1472123</v>
      </c>
    </row>
    <row r="216" spans="1:3" x14ac:dyDescent="0.25">
      <c r="A216" t="s">
        <v>62</v>
      </c>
      <c r="B216" t="s">
        <v>50</v>
      </c>
      <c r="C216">
        <v>3064708</v>
      </c>
    </row>
    <row r="217" spans="1:3" x14ac:dyDescent="0.25">
      <c r="A217" t="s">
        <v>62</v>
      </c>
      <c r="B217" t="s">
        <v>51</v>
      </c>
      <c r="C217">
        <v>3973935</v>
      </c>
    </row>
    <row r="218" spans="1:3" x14ac:dyDescent="0.25">
      <c r="A218" t="s">
        <v>62</v>
      </c>
      <c r="B218" t="s">
        <v>52</v>
      </c>
      <c r="C218">
        <v>4152660</v>
      </c>
    </row>
    <row r="219" spans="1:3" x14ac:dyDescent="0.25">
      <c r="A219" t="s">
        <v>62</v>
      </c>
      <c r="B219" t="s">
        <v>53</v>
      </c>
      <c r="C219">
        <v>7128296</v>
      </c>
    </row>
    <row r="220" spans="1:3" x14ac:dyDescent="0.25">
      <c r="A220" t="s">
        <v>62</v>
      </c>
      <c r="B220" t="s">
        <v>54</v>
      </c>
      <c r="C220">
        <v>9165349</v>
      </c>
    </row>
    <row r="221" spans="1:3" x14ac:dyDescent="0.25">
      <c r="A221" t="s">
        <v>62</v>
      </c>
      <c r="B221" t="s">
        <v>55</v>
      </c>
      <c r="C221">
        <v>9484850</v>
      </c>
    </row>
    <row r="222" spans="1:3" x14ac:dyDescent="0.25">
      <c r="A222" t="s">
        <v>62</v>
      </c>
      <c r="B222" t="s">
        <v>56</v>
      </c>
      <c r="C222">
        <v>9365458</v>
      </c>
    </row>
    <row r="223" spans="1:3" x14ac:dyDescent="0.25">
      <c r="A223" t="s">
        <v>62</v>
      </c>
      <c r="B223" t="s">
        <v>57</v>
      </c>
      <c r="C223">
        <v>13849556</v>
      </c>
    </row>
    <row r="224" spans="1:3" x14ac:dyDescent="0.25">
      <c r="A224" t="s">
        <v>62</v>
      </c>
      <c r="B224" t="s">
        <v>58</v>
      </c>
      <c r="C224">
        <v>13993844</v>
      </c>
    </row>
    <row r="225" spans="1:3" x14ac:dyDescent="0.25">
      <c r="A225" t="s">
        <v>62</v>
      </c>
      <c r="B225" t="s">
        <v>59</v>
      </c>
      <c r="C225">
        <v>13460921</v>
      </c>
    </row>
    <row r="226" spans="1:3" x14ac:dyDescent="0.25">
      <c r="A226" t="s">
        <v>63</v>
      </c>
      <c r="B226" t="s">
        <v>3</v>
      </c>
      <c r="C226">
        <v>3693574</v>
      </c>
    </row>
    <row r="227" spans="1:3" x14ac:dyDescent="0.25">
      <c r="A227" t="s">
        <v>63</v>
      </c>
      <c r="B227" t="s">
        <v>5</v>
      </c>
      <c r="C227">
        <v>4020052</v>
      </c>
    </row>
    <row r="228" spans="1:3" x14ac:dyDescent="0.25">
      <c r="A228" t="s">
        <v>63</v>
      </c>
      <c r="B228" t="s">
        <v>6</v>
      </c>
      <c r="C228">
        <v>4435164</v>
      </c>
    </row>
    <row r="229" spans="1:3" x14ac:dyDescent="0.25">
      <c r="A229" t="s">
        <v>63</v>
      </c>
      <c r="B229" t="s">
        <v>7</v>
      </c>
      <c r="C229">
        <v>4210448</v>
      </c>
    </row>
    <row r="230" spans="1:3" x14ac:dyDescent="0.25">
      <c r="A230" t="s">
        <v>63</v>
      </c>
      <c r="B230" t="s">
        <v>8</v>
      </c>
      <c r="C230">
        <v>4243006</v>
      </c>
    </row>
    <row r="231" spans="1:3" x14ac:dyDescent="0.25">
      <c r="A231" t="s">
        <v>63</v>
      </c>
      <c r="B231" t="s">
        <v>9</v>
      </c>
      <c r="C231">
        <v>5162802</v>
      </c>
    </row>
    <row r="232" spans="1:3" x14ac:dyDescent="0.25">
      <c r="A232" t="s">
        <v>63</v>
      </c>
      <c r="B232" t="s">
        <v>10</v>
      </c>
      <c r="C232">
        <v>5395978</v>
      </c>
    </row>
    <row r="233" spans="1:3" x14ac:dyDescent="0.25">
      <c r="A233" t="s">
        <v>63</v>
      </c>
      <c r="B233" t="s">
        <v>11</v>
      </c>
      <c r="C233">
        <v>4880534</v>
      </c>
    </row>
    <row r="234" spans="1:3" x14ac:dyDescent="0.25">
      <c r="A234" t="s">
        <v>63</v>
      </c>
      <c r="B234" t="s">
        <v>12</v>
      </c>
      <c r="C234">
        <v>4675619</v>
      </c>
    </row>
    <row r="235" spans="1:3" x14ac:dyDescent="0.25">
      <c r="A235" t="s">
        <v>63</v>
      </c>
      <c r="B235" t="s">
        <v>13</v>
      </c>
      <c r="C235">
        <v>5570539</v>
      </c>
    </row>
    <row r="236" spans="1:3" x14ac:dyDescent="0.25">
      <c r="A236" t="s">
        <v>63</v>
      </c>
      <c r="B236" t="s">
        <v>14</v>
      </c>
      <c r="C236">
        <v>5856265</v>
      </c>
    </row>
    <row r="237" spans="1:3" x14ac:dyDescent="0.25">
      <c r="A237" t="s">
        <v>63</v>
      </c>
      <c r="B237" t="s">
        <v>15</v>
      </c>
      <c r="C237">
        <v>5052795</v>
      </c>
    </row>
    <row r="238" spans="1:3" x14ac:dyDescent="0.25">
      <c r="A238" t="s">
        <v>63</v>
      </c>
      <c r="B238" t="s">
        <v>16</v>
      </c>
      <c r="C238">
        <v>8603978</v>
      </c>
    </row>
    <row r="239" spans="1:3" x14ac:dyDescent="0.25">
      <c r="A239" t="s">
        <v>63</v>
      </c>
      <c r="B239" t="s">
        <v>17</v>
      </c>
      <c r="C239">
        <v>9940572</v>
      </c>
    </row>
    <row r="240" spans="1:3" x14ac:dyDescent="0.25">
      <c r="A240" t="s">
        <v>63</v>
      </c>
      <c r="B240" t="s">
        <v>18</v>
      </c>
      <c r="C240">
        <v>9912178</v>
      </c>
    </row>
    <row r="241" spans="1:3" x14ac:dyDescent="0.25">
      <c r="A241" t="s">
        <v>63</v>
      </c>
      <c r="B241" t="s">
        <v>19</v>
      </c>
      <c r="C241">
        <v>8703439</v>
      </c>
    </row>
    <row r="242" spans="1:3" x14ac:dyDescent="0.25">
      <c r="A242" t="s">
        <v>63</v>
      </c>
      <c r="B242" t="s">
        <v>20</v>
      </c>
      <c r="C242">
        <v>8723110</v>
      </c>
    </row>
    <row r="243" spans="1:3" x14ac:dyDescent="0.25">
      <c r="A243" t="s">
        <v>63</v>
      </c>
      <c r="B243" t="s">
        <v>21</v>
      </c>
      <c r="C243">
        <v>10003024</v>
      </c>
    </row>
    <row r="244" spans="1:3" x14ac:dyDescent="0.25">
      <c r="A244" t="s">
        <v>63</v>
      </c>
      <c r="B244" t="s">
        <v>22</v>
      </c>
      <c r="C244">
        <v>10229894</v>
      </c>
    </row>
    <row r="245" spans="1:3" x14ac:dyDescent="0.25">
      <c r="A245" t="s">
        <v>63</v>
      </c>
      <c r="B245" t="s">
        <v>23</v>
      </c>
      <c r="C245">
        <v>9331106</v>
      </c>
    </row>
    <row r="246" spans="1:3" x14ac:dyDescent="0.25">
      <c r="A246" t="s">
        <v>63</v>
      </c>
      <c r="B246" t="s">
        <v>24</v>
      </c>
      <c r="C246">
        <v>8696283</v>
      </c>
    </row>
    <row r="247" spans="1:3" x14ac:dyDescent="0.25">
      <c r="A247" t="s">
        <v>63</v>
      </c>
      <c r="B247" t="s">
        <v>25</v>
      </c>
      <c r="C247">
        <v>10328256</v>
      </c>
    </row>
    <row r="248" spans="1:3" x14ac:dyDescent="0.25">
      <c r="A248" t="s">
        <v>63</v>
      </c>
      <c r="B248" t="s">
        <v>26</v>
      </c>
      <c r="C248">
        <v>10563671</v>
      </c>
    </row>
    <row r="249" spans="1:3" x14ac:dyDescent="0.25">
      <c r="A249" t="s">
        <v>63</v>
      </c>
      <c r="B249" t="s">
        <v>27</v>
      </c>
      <c r="C249">
        <v>9312309</v>
      </c>
    </row>
    <row r="250" spans="1:3" x14ac:dyDescent="0.25">
      <c r="A250" t="s">
        <v>63</v>
      </c>
      <c r="B250" t="s">
        <v>28</v>
      </c>
      <c r="C250">
        <v>8608479</v>
      </c>
    </row>
    <row r="251" spans="1:3" x14ac:dyDescent="0.25">
      <c r="A251" t="s">
        <v>63</v>
      </c>
      <c r="B251" t="s">
        <v>29</v>
      </c>
      <c r="C251">
        <v>9913459</v>
      </c>
    </row>
    <row r="252" spans="1:3" x14ac:dyDescent="0.25">
      <c r="A252" t="s">
        <v>63</v>
      </c>
      <c r="B252" t="s">
        <v>30</v>
      </c>
      <c r="C252">
        <v>10305905</v>
      </c>
    </row>
    <row r="253" spans="1:3" x14ac:dyDescent="0.25">
      <c r="A253" t="s">
        <v>63</v>
      </c>
      <c r="B253" t="s">
        <v>31</v>
      </c>
      <c r="C253">
        <v>9036289</v>
      </c>
    </row>
    <row r="254" spans="1:3" x14ac:dyDescent="0.25">
      <c r="A254" t="s">
        <v>63</v>
      </c>
      <c r="B254" t="s">
        <v>32</v>
      </c>
      <c r="C254">
        <v>8195291</v>
      </c>
    </row>
    <row r="255" spans="1:3" x14ac:dyDescent="0.25">
      <c r="A255" t="s">
        <v>63</v>
      </c>
      <c r="B255" t="s">
        <v>33</v>
      </c>
      <c r="C255">
        <v>9395665</v>
      </c>
    </row>
    <row r="256" spans="1:3" x14ac:dyDescent="0.25">
      <c r="A256" t="s">
        <v>63</v>
      </c>
      <c r="B256" t="s">
        <v>34</v>
      </c>
      <c r="C256">
        <v>9913185</v>
      </c>
    </row>
    <row r="257" spans="1:3" x14ac:dyDescent="0.25">
      <c r="A257" t="s">
        <v>63</v>
      </c>
      <c r="B257" t="s">
        <v>35</v>
      </c>
      <c r="C257">
        <v>9051740</v>
      </c>
    </row>
    <row r="258" spans="1:3" x14ac:dyDescent="0.25">
      <c r="A258" t="s">
        <v>63</v>
      </c>
      <c r="B258" t="s">
        <v>36</v>
      </c>
      <c r="C258">
        <v>8420115</v>
      </c>
    </row>
    <row r="259" spans="1:3" x14ac:dyDescent="0.25">
      <c r="A259" t="s">
        <v>63</v>
      </c>
      <c r="B259" t="s">
        <v>37</v>
      </c>
      <c r="C259">
        <v>9999723</v>
      </c>
    </row>
    <row r="260" spans="1:3" x14ac:dyDescent="0.25">
      <c r="A260" t="s">
        <v>63</v>
      </c>
      <c r="B260" t="s">
        <v>38</v>
      </c>
      <c r="C260">
        <v>9877966</v>
      </c>
    </row>
    <row r="261" spans="1:3" x14ac:dyDescent="0.25">
      <c r="A261" t="s">
        <v>63</v>
      </c>
      <c r="B261" t="s">
        <v>39</v>
      </c>
      <c r="C261">
        <v>9438506</v>
      </c>
    </row>
    <row r="262" spans="1:3" x14ac:dyDescent="0.25">
      <c r="A262" t="s">
        <v>63</v>
      </c>
      <c r="B262" t="s">
        <v>40</v>
      </c>
      <c r="C262">
        <v>9031936</v>
      </c>
    </row>
    <row r="263" spans="1:3" x14ac:dyDescent="0.25">
      <c r="A263" t="s">
        <v>63</v>
      </c>
      <c r="B263" t="s">
        <v>41</v>
      </c>
      <c r="C263">
        <v>10776602</v>
      </c>
    </row>
    <row r="264" spans="1:3" x14ac:dyDescent="0.25">
      <c r="A264" t="s">
        <v>63</v>
      </c>
      <c r="B264" t="s">
        <v>42</v>
      </c>
      <c r="C264">
        <v>11003046</v>
      </c>
    </row>
    <row r="265" spans="1:3" x14ac:dyDescent="0.25">
      <c r="A265" t="s">
        <v>63</v>
      </c>
      <c r="B265" t="s">
        <v>43</v>
      </c>
      <c r="C265">
        <v>10491647</v>
      </c>
    </row>
    <row r="266" spans="1:3" x14ac:dyDescent="0.25">
      <c r="A266" t="s">
        <v>63</v>
      </c>
      <c r="B266" t="s">
        <v>44</v>
      </c>
      <c r="C266">
        <v>9589287</v>
      </c>
    </row>
    <row r="267" spans="1:3" x14ac:dyDescent="0.25">
      <c r="A267" t="s">
        <v>63</v>
      </c>
      <c r="B267" t="s">
        <v>45</v>
      </c>
      <c r="C267">
        <v>11401369</v>
      </c>
    </row>
    <row r="268" spans="1:3" x14ac:dyDescent="0.25">
      <c r="A268" t="s">
        <v>63</v>
      </c>
      <c r="B268" t="s">
        <v>46</v>
      </c>
      <c r="C268">
        <v>11380482</v>
      </c>
    </row>
    <row r="269" spans="1:3" x14ac:dyDescent="0.25">
      <c r="A269" t="s">
        <v>63</v>
      </c>
      <c r="B269" t="s">
        <v>47</v>
      </c>
      <c r="C269">
        <v>10887402</v>
      </c>
    </row>
    <row r="270" spans="1:3" x14ac:dyDescent="0.25">
      <c r="A270" t="s">
        <v>63</v>
      </c>
      <c r="B270" t="s">
        <v>48</v>
      </c>
      <c r="C270">
        <v>7978567</v>
      </c>
    </row>
    <row r="271" spans="1:3" x14ac:dyDescent="0.25">
      <c r="A271" t="s">
        <v>63</v>
      </c>
      <c r="B271" t="s">
        <v>49</v>
      </c>
      <c r="C271">
        <v>1475477</v>
      </c>
    </row>
    <row r="272" spans="1:3" x14ac:dyDescent="0.25">
      <c r="A272" t="s">
        <v>63</v>
      </c>
      <c r="B272" t="s">
        <v>50</v>
      </c>
      <c r="C272">
        <v>2488824</v>
      </c>
    </row>
    <row r="273" spans="1:3" x14ac:dyDescent="0.25">
      <c r="A273" t="s">
        <v>63</v>
      </c>
      <c r="B273" t="s">
        <v>51</v>
      </c>
      <c r="C273">
        <v>3412579</v>
      </c>
    </row>
    <row r="274" spans="1:3" x14ac:dyDescent="0.25">
      <c r="A274" t="s">
        <v>63</v>
      </c>
      <c r="B274" t="s">
        <v>52</v>
      </c>
      <c r="C274">
        <v>3220602</v>
      </c>
    </row>
    <row r="275" spans="1:3" x14ac:dyDescent="0.25">
      <c r="A275" t="s">
        <v>63</v>
      </c>
      <c r="B275" t="s">
        <v>53</v>
      </c>
      <c r="C275">
        <v>5471679</v>
      </c>
    </row>
    <row r="276" spans="1:3" x14ac:dyDescent="0.25">
      <c r="A276" t="s">
        <v>63</v>
      </c>
      <c r="B276" t="s">
        <v>54</v>
      </c>
      <c r="C276">
        <v>7749962</v>
      </c>
    </row>
    <row r="277" spans="1:3" x14ac:dyDescent="0.25">
      <c r="A277" t="s">
        <v>63</v>
      </c>
      <c r="B277" t="s">
        <v>55</v>
      </c>
      <c r="C277">
        <v>8191597</v>
      </c>
    </row>
    <row r="278" spans="1:3" x14ac:dyDescent="0.25">
      <c r="A278" t="s">
        <v>63</v>
      </c>
      <c r="B278" t="s">
        <v>56</v>
      </c>
      <c r="C278">
        <v>7566359</v>
      </c>
    </row>
    <row r="279" spans="1:3" x14ac:dyDescent="0.25">
      <c r="A279" t="s">
        <v>63</v>
      </c>
      <c r="B279" t="s">
        <v>57</v>
      </c>
      <c r="C279">
        <v>12111788</v>
      </c>
    </row>
    <row r="280" spans="1:3" x14ac:dyDescent="0.25">
      <c r="A280" t="s">
        <v>63</v>
      </c>
      <c r="B280" t="s">
        <v>58</v>
      </c>
      <c r="C280">
        <v>12876668</v>
      </c>
    </row>
    <row r="281" spans="1:3" x14ac:dyDescent="0.25">
      <c r="A281" t="s">
        <v>63</v>
      </c>
      <c r="B281" t="s">
        <v>59</v>
      </c>
      <c r="C281">
        <v>12400352</v>
      </c>
    </row>
    <row r="282" spans="1:3" x14ac:dyDescent="0.25">
      <c r="A282" t="s">
        <v>64</v>
      </c>
      <c r="B282" t="s">
        <v>3</v>
      </c>
      <c r="C282">
        <v>2356573</v>
      </c>
    </row>
    <row r="283" spans="1:3" x14ac:dyDescent="0.25">
      <c r="A283" t="s">
        <v>64</v>
      </c>
      <c r="B283" t="s">
        <v>5</v>
      </c>
      <c r="C283">
        <v>2615964</v>
      </c>
    </row>
    <row r="284" spans="1:3" x14ac:dyDescent="0.25">
      <c r="A284" t="s">
        <v>64</v>
      </c>
      <c r="B284" t="s">
        <v>6</v>
      </c>
      <c r="C284">
        <v>2665584</v>
      </c>
    </row>
    <row r="285" spans="1:3" x14ac:dyDescent="0.25">
      <c r="A285" t="s">
        <v>64</v>
      </c>
      <c r="B285" t="s">
        <v>7</v>
      </c>
      <c r="C285">
        <v>2712217</v>
      </c>
    </row>
    <row r="286" spans="1:3" x14ac:dyDescent="0.25">
      <c r="A286" t="s">
        <v>64</v>
      </c>
      <c r="B286" t="s">
        <v>8</v>
      </c>
      <c r="C286">
        <v>2630038</v>
      </c>
    </row>
    <row r="287" spans="1:3" x14ac:dyDescent="0.25">
      <c r="A287" t="s">
        <v>64</v>
      </c>
      <c r="B287" t="s">
        <v>9</v>
      </c>
      <c r="C287">
        <v>3168317</v>
      </c>
    </row>
    <row r="288" spans="1:3" x14ac:dyDescent="0.25">
      <c r="A288" t="s">
        <v>64</v>
      </c>
      <c r="B288" t="s">
        <v>10</v>
      </c>
      <c r="C288">
        <v>3191758</v>
      </c>
    </row>
    <row r="289" spans="1:3" x14ac:dyDescent="0.25">
      <c r="A289" t="s">
        <v>64</v>
      </c>
      <c r="B289" t="s">
        <v>11</v>
      </c>
      <c r="C289">
        <v>3113597</v>
      </c>
    </row>
    <row r="290" spans="1:3" x14ac:dyDescent="0.25">
      <c r="A290" t="s">
        <v>64</v>
      </c>
      <c r="B290" t="s">
        <v>12</v>
      </c>
      <c r="C290">
        <v>3102893</v>
      </c>
    </row>
    <row r="291" spans="1:3" x14ac:dyDescent="0.25">
      <c r="A291" t="s">
        <v>64</v>
      </c>
      <c r="B291" t="s">
        <v>13</v>
      </c>
      <c r="C291">
        <v>3595869</v>
      </c>
    </row>
    <row r="292" spans="1:3" x14ac:dyDescent="0.25">
      <c r="A292" t="s">
        <v>64</v>
      </c>
      <c r="B292" t="s">
        <v>14</v>
      </c>
      <c r="C292">
        <v>3552684</v>
      </c>
    </row>
    <row r="293" spans="1:3" x14ac:dyDescent="0.25">
      <c r="A293" t="s">
        <v>64</v>
      </c>
      <c r="B293" t="s">
        <v>15</v>
      </c>
      <c r="C293">
        <v>3403195</v>
      </c>
    </row>
    <row r="294" spans="1:3" x14ac:dyDescent="0.25">
      <c r="A294" t="s">
        <v>64</v>
      </c>
      <c r="B294" t="s">
        <v>16</v>
      </c>
      <c r="C294">
        <v>3313519</v>
      </c>
    </row>
    <row r="295" spans="1:3" x14ac:dyDescent="0.25">
      <c r="A295" t="s">
        <v>64</v>
      </c>
      <c r="B295" t="s">
        <v>17</v>
      </c>
      <c r="C295">
        <v>4615890</v>
      </c>
    </row>
    <row r="296" spans="1:3" x14ac:dyDescent="0.25">
      <c r="A296" t="s">
        <v>64</v>
      </c>
      <c r="B296" t="s">
        <v>18</v>
      </c>
      <c r="C296">
        <v>4308455</v>
      </c>
    </row>
    <row r="297" spans="1:3" x14ac:dyDescent="0.25">
      <c r="A297" t="s">
        <v>64</v>
      </c>
      <c r="B297" t="s">
        <v>19</v>
      </c>
      <c r="C297">
        <v>4172732</v>
      </c>
    </row>
    <row r="298" spans="1:3" x14ac:dyDescent="0.25">
      <c r="A298" t="s">
        <v>64</v>
      </c>
      <c r="B298" t="s">
        <v>20</v>
      </c>
      <c r="C298">
        <v>4084086</v>
      </c>
    </row>
    <row r="299" spans="1:3" x14ac:dyDescent="0.25">
      <c r="A299" t="s">
        <v>64</v>
      </c>
      <c r="B299" t="s">
        <v>21</v>
      </c>
      <c r="C299">
        <v>4642505</v>
      </c>
    </row>
    <row r="300" spans="1:3" x14ac:dyDescent="0.25">
      <c r="A300" t="s">
        <v>64</v>
      </c>
      <c r="B300" t="s">
        <v>22</v>
      </c>
      <c r="C300">
        <v>4544691</v>
      </c>
    </row>
    <row r="301" spans="1:3" x14ac:dyDescent="0.25">
      <c r="A301" t="s">
        <v>64</v>
      </c>
      <c r="B301" t="s">
        <v>23</v>
      </c>
      <c r="C301">
        <v>4428152</v>
      </c>
    </row>
    <row r="302" spans="1:3" x14ac:dyDescent="0.25">
      <c r="A302" t="s">
        <v>64</v>
      </c>
      <c r="B302" t="s">
        <v>24</v>
      </c>
      <c r="C302">
        <v>4166103</v>
      </c>
    </row>
    <row r="303" spans="1:3" x14ac:dyDescent="0.25">
      <c r="A303" t="s">
        <v>64</v>
      </c>
      <c r="B303" t="s">
        <v>25</v>
      </c>
      <c r="C303">
        <v>5011428</v>
      </c>
    </row>
    <row r="304" spans="1:3" x14ac:dyDescent="0.25">
      <c r="A304" t="s">
        <v>64</v>
      </c>
      <c r="B304" t="s">
        <v>26</v>
      </c>
      <c r="C304">
        <v>4799941</v>
      </c>
    </row>
    <row r="305" spans="1:3" x14ac:dyDescent="0.25">
      <c r="A305" t="s">
        <v>64</v>
      </c>
      <c r="B305" t="s">
        <v>27</v>
      </c>
      <c r="C305">
        <v>4627644</v>
      </c>
    </row>
    <row r="306" spans="1:3" x14ac:dyDescent="0.25">
      <c r="A306" t="s">
        <v>64</v>
      </c>
      <c r="B306" t="s">
        <v>28</v>
      </c>
      <c r="C306">
        <v>4414255</v>
      </c>
    </row>
    <row r="307" spans="1:3" x14ac:dyDescent="0.25">
      <c r="A307" t="s">
        <v>64</v>
      </c>
      <c r="B307" t="s">
        <v>29</v>
      </c>
      <c r="C307">
        <v>5110613</v>
      </c>
    </row>
    <row r="308" spans="1:3" x14ac:dyDescent="0.25">
      <c r="A308" t="s">
        <v>64</v>
      </c>
      <c r="B308" t="s">
        <v>30</v>
      </c>
      <c r="C308">
        <v>5317924</v>
      </c>
    </row>
    <row r="309" spans="1:3" x14ac:dyDescent="0.25">
      <c r="A309" t="s">
        <v>64</v>
      </c>
      <c r="B309" t="s">
        <v>31</v>
      </c>
      <c r="C309">
        <v>4977318</v>
      </c>
    </row>
    <row r="310" spans="1:3" x14ac:dyDescent="0.25">
      <c r="A310" t="s">
        <v>64</v>
      </c>
      <c r="B310" t="s">
        <v>32</v>
      </c>
      <c r="C310">
        <v>4826319</v>
      </c>
    </row>
    <row r="311" spans="1:3" x14ac:dyDescent="0.25">
      <c r="A311" t="s">
        <v>64</v>
      </c>
      <c r="B311" t="s">
        <v>33</v>
      </c>
      <c r="C311">
        <v>5384150</v>
      </c>
    </row>
    <row r="312" spans="1:3" x14ac:dyDescent="0.25">
      <c r="A312" t="s">
        <v>64</v>
      </c>
      <c r="B312" t="s">
        <v>34</v>
      </c>
      <c r="C312">
        <v>5139071</v>
      </c>
    </row>
    <row r="313" spans="1:3" x14ac:dyDescent="0.25">
      <c r="A313" t="s">
        <v>64</v>
      </c>
      <c r="B313" t="s">
        <v>35</v>
      </c>
      <c r="C313">
        <v>5075670</v>
      </c>
    </row>
    <row r="314" spans="1:3" x14ac:dyDescent="0.25">
      <c r="A314" t="s">
        <v>64</v>
      </c>
      <c r="B314" t="s">
        <v>36</v>
      </c>
      <c r="C314">
        <v>4882664</v>
      </c>
    </row>
    <row r="315" spans="1:3" x14ac:dyDescent="0.25">
      <c r="A315" t="s">
        <v>64</v>
      </c>
      <c r="B315" t="s">
        <v>37</v>
      </c>
      <c r="C315">
        <v>5743938</v>
      </c>
    </row>
    <row r="316" spans="1:3" x14ac:dyDescent="0.25">
      <c r="A316" t="s">
        <v>64</v>
      </c>
      <c r="B316" t="s">
        <v>38</v>
      </c>
      <c r="C316">
        <v>5270666</v>
      </c>
    </row>
    <row r="317" spans="1:3" x14ac:dyDescent="0.25">
      <c r="A317" t="s">
        <v>64</v>
      </c>
      <c r="B317" t="s">
        <v>39</v>
      </c>
      <c r="C317">
        <v>5273392</v>
      </c>
    </row>
    <row r="318" spans="1:3" x14ac:dyDescent="0.25">
      <c r="A318" t="s">
        <v>64</v>
      </c>
      <c r="B318" t="s">
        <v>40</v>
      </c>
      <c r="C318">
        <v>4943716</v>
      </c>
    </row>
    <row r="319" spans="1:3" x14ac:dyDescent="0.25">
      <c r="A319" t="s">
        <v>64</v>
      </c>
      <c r="B319" t="s">
        <v>41</v>
      </c>
      <c r="C319">
        <v>5742434</v>
      </c>
    </row>
    <row r="320" spans="1:3" x14ac:dyDescent="0.25">
      <c r="A320" t="s">
        <v>64</v>
      </c>
      <c r="B320" t="s">
        <v>42</v>
      </c>
      <c r="C320">
        <v>5574877</v>
      </c>
    </row>
    <row r="321" spans="1:3" x14ac:dyDescent="0.25">
      <c r="A321" t="s">
        <v>64</v>
      </c>
      <c r="B321" t="s">
        <v>43</v>
      </c>
      <c r="C321">
        <v>5704022</v>
      </c>
    </row>
    <row r="322" spans="1:3" x14ac:dyDescent="0.25">
      <c r="A322" t="s">
        <v>64</v>
      </c>
      <c r="B322" t="s">
        <v>44</v>
      </c>
      <c r="C322">
        <v>5149183</v>
      </c>
    </row>
    <row r="323" spans="1:3" x14ac:dyDescent="0.25">
      <c r="A323" t="s">
        <v>64</v>
      </c>
      <c r="B323" t="s">
        <v>45</v>
      </c>
      <c r="C323">
        <v>5909468</v>
      </c>
    </row>
    <row r="324" spans="1:3" x14ac:dyDescent="0.25">
      <c r="A324" t="s">
        <v>64</v>
      </c>
      <c r="B324" t="s">
        <v>46</v>
      </c>
      <c r="C324">
        <v>5639820</v>
      </c>
    </row>
    <row r="325" spans="1:3" x14ac:dyDescent="0.25">
      <c r="A325" t="s">
        <v>64</v>
      </c>
      <c r="B325" t="s">
        <v>47</v>
      </c>
      <c r="C325">
        <v>5729282</v>
      </c>
    </row>
    <row r="326" spans="1:3" x14ac:dyDescent="0.25">
      <c r="A326" t="s">
        <v>64</v>
      </c>
      <c r="B326" t="s">
        <v>48</v>
      </c>
      <c r="C326">
        <v>4233934</v>
      </c>
    </row>
    <row r="327" spans="1:3" x14ac:dyDescent="0.25">
      <c r="A327" t="s">
        <v>64</v>
      </c>
      <c r="B327" t="s">
        <v>49</v>
      </c>
      <c r="C327">
        <v>1007676</v>
      </c>
    </row>
    <row r="328" spans="1:3" x14ac:dyDescent="0.25">
      <c r="A328" t="s">
        <v>64</v>
      </c>
      <c r="B328" t="s">
        <v>50</v>
      </c>
      <c r="C328">
        <v>1793075</v>
      </c>
    </row>
    <row r="329" spans="1:3" x14ac:dyDescent="0.25">
      <c r="A329" t="s">
        <v>64</v>
      </c>
      <c r="B329" t="s">
        <v>51</v>
      </c>
      <c r="C329">
        <v>2013376</v>
      </c>
    </row>
    <row r="330" spans="1:3" x14ac:dyDescent="0.25">
      <c r="A330" t="s">
        <v>64</v>
      </c>
      <c r="B330" t="s">
        <v>52</v>
      </c>
      <c r="C330">
        <v>2051624</v>
      </c>
    </row>
    <row r="331" spans="1:3" x14ac:dyDescent="0.25">
      <c r="A331" t="s">
        <v>64</v>
      </c>
      <c r="B331" t="s">
        <v>53</v>
      </c>
      <c r="C331">
        <v>4007944</v>
      </c>
    </row>
    <row r="332" spans="1:3" x14ac:dyDescent="0.25">
      <c r="A332" t="s">
        <v>64</v>
      </c>
      <c r="B332" t="s">
        <v>54</v>
      </c>
      <c r="C332">
        <v>4679383</v>
      </c>
    </row>
    <row r="333" spans="1:3" x14ac:dyDescent="0.25">
      <c r="A333" t="s">
        <v>64</v>
      </c>
      <c r="B333" t="s">
        <v>55</v>
      </c>
      <c r="C333">
        <v>5051380</v>
      </c>
    </row>
    <row r="334" spans="1:3" x14ac:dyDescent="0.25">
      <c r="A334" t="s">
        <v>64</v>
      </c>
      <c r="B334" t="s">
        <v>56</v>
      </c>
      <c r="C334">
        <v>4693765</v>
      </c>
    </row>
    <row r="335" spans="1:3" x14ac:dyDescent="0.25">
      <c r="A335" t="s">
        <v>64</v>
      </c>
      <c r="B335" t="s">
        <v>57</v>
      </c>
      <c r="C335">
        <v>6728340</v>
      </c>
    </row>
    <row r="336" spans="1:3" x14ac:dyDescent="0.25">
      <c r="A336" t="s">
        <v>64</v>
      </c>
      <c r="B336" t="s">
        <v>58</v>
      </c>
      <c r="C336">
        <v>6220108</v>
      </c>
    </row>
    <row r="337" spans="1:3" x14ac:dyDescent="0.25">
      <c r="A337" t="s">
        <v>64</v>
      </c>
      <c r="B337" t="s">
        <v>59</v>
      </c>
      <c r="C337">
        <v>6172186</v>
      </c>
    </row>
    <row r="338" spans="1:3" x14ac:dyDescent="0.25">
      <c r="A338" t="s">
        <v>65</v>
      </c>
      <c r="B338" t="s">
        <v>3</v>
      </c>
      <c r="C338">
        <v>792890</v>
      </c>
    </row>
    <row r="339" spans="1:3" x14ac:dyDescent="0.25">
      <c r="A339" t="s">
        <v>65</v>
      </c>
      <c r="B339" t="s">
        <v>5</v>
      </c>
      <c r="C339">
        <v>807162</v>
      </c>
    </row>
    <row r="340" spans="1:3" x14ac:dyDescent="0.25">
      <c r="A340" t="s">
        <v>65</v>
      </c>
      <c r="B340" t="s">
        <v>6</v>
      </c>
      <c r="C340">
        <v>855531</v>
      </c>
    </row>
    <row r="341" spans="1:3" x14ac:dyDescent="0.25">
      <c r="A341" t="s">
        <v>65</v>
      </c>
      <c r="B341" t="s">
        <v>7</v>
      </c>
      <c r="C341">
        <v>831830</v>
      </c>
    </row>
    <row r="342" spans="1:3" x14ac:dyDescent="0.25">
      <c r="A342" t="s">
        <v>65</v>
      </c>
      <c r="B342" t="s">
        <v>8</v>
      </c>
      <c r="C342">
        <v>869619</v>
      </c>
    </row>
    <row r="343" spans="1:3" x14ac:dyDescent="0.25">
      <c r="A343" t="s">
        <v>65</v>
      </c>
      <c r="B343" t="s">
        <v>9</v>
      </c>
      <c r="C343">
        <v>940188</v>
      </c>
    </row>
    <row r="344" spans="1:3" x14ac:dyDescent="0.25">
      <c r="A344" t="s">
        <v>65</v>
      </c>
      <c r="B344" t="s">
        <v>10</v>
      </c>
      <c r="C344">
        <v>1031700</v>
      </c>
    </row>
    <row r="345" spans="1:3" x14ac:dyDescent="0.25">
      <c r="A345" t="s">
        <v>65</v>
      </c>
      <c r="B345" t="s">
        <v>11</v>
      </c>
      <c r="C345">
        <v>939309</v>
      </c>
    </row>
    <row r="346" spans="1:3" x14ac:dyDescent="0.25">
      <c r="A346" t="s">
        <v>65</v>
      </c>
      <c r="B346" t="s">
        <v>12</v>
      </c>
      <c r="C346">
        <v>1012854</v>
      </c>
    </row>
    <row r="347" spans="1:3" x14ac:dyDescent="0.25">
      <c r="A347" t="s">
        <v>65</v>
      </c>
      <c r="B347" t="s">
        <v>13</v>
      </c>
      <c r="C347">
        <v>1152580</v>
      </c>
    </row>
    <row r="348" spans="1:3" x14ac:dyDescent="0.25">
      <c r="A348" t="s">
        <v>65</v>
      </c>
      <c r="B348" t="s">
        <v>14</v>
      </c>
      <c r="C348">
        <v>1196484</v>
      </c>
    </row>
    <row r="349" spans="1:3" x14ac:dyDescent="0.25">
      <c r="A349" t="s">
        <v>65</v>
      </c>
      <c r="B349" t="s">
        <v>15</v>
      </c>
      <c r="C349">
        <v>1146981</v>
      </c>
    </row>
    <row r="350" spans="1:3" x14ac:dyDescent="0.25">
      <c r="A350" t="s">
        <v>65</v>
      </c>
      <c r="B350" t="s">
        <v>16</v>
      </c>
      <c r="C350">
        <v>1203470</v>
      </c>
    </row>
    <row r="351" spans="1:3" x14ac:dyDescent="0.25">
      <c r="A351" t="s">
        <v>65</v>
      </c>
      <c r="B351" t="s">
        <v>17</v>
      </c>
      <c r="C351">
        <v>1277328</v>
      </c>
    </row>
    <row r="352" spans="1:3" x14ac:dyDescent="0.25">
      <c r="A352" t="s">
        <v>65</v>
      </c>
      <c r="B352" t="s">
        <v>18</v>
      </c>
      <c r="C352">
        <v>1307179</v>
      </c>
    </row>
    <row r="353" spans="1:3" x14ac:dyDescent="0.25">
      <c r="A353" t="s">
        <v>65</v>
      </c>
      <c r="B353" t="s">
        <v>19</v>
      </c>
      <c r="C353">
        <v>1194037</v>
      </c>
    </row>
    <row r="354" spans="1:3" x14ac:dyDescent="0.25">
      <c r="A354" t="s">
        <v>65</v>
      </c>
      <c r="B354" t="s">
        <v>20</v>
      </c>
      <c r="C354">
        <v>1298942</v>
      </c>
    </row>
    <row r="355" spans="1:3" x14ac:dyDescent="0.25">
      <c r="A355" t="s">
        <v>65</v>
      </c>
      <c r="B355" t="s">
        <v>21</v>
      </c>
      <c r="C355">
        <v>1334450</v>
      </c>
    </row>
    <row r="356" spans="1:3" x14ac:dyDescent="0.25">
      <c r="A356" t="s">
        <v>65</v>
      </c>
      <c r="B356" t="s">
        <v>22</v>
      </c>
      <c r="C356">
        <v>1442616</v>
      </c>
    </row>
    <row r="357" spans="1:3" x14ac:dyDescent="0.25">
      <c r="A357" t="s">
        <v>65</v>
      </c>
      <c r="B357" t="s">
        <v>23</v>
      </c>
      <c r="C357">
        <v>1365820</v>
      </c>
    </row>
    <row r="358" spans="1:3" x14ac:dyDescent="0.25">
      <c r="A358" t="s">
        <v>65</v>
      </c>
      <c r="B358" t="s">
        <v>24</v>
      </c>
      <c r="C358">
        <v>1348787</v>
      </c>
    </row>
    <row r="359" spans="1:3" x14ac:dyDescent="0.25">
      <c r="A359" t="s">
        <v>65</v>
      </c>
      <c r="B359" t="s">
        <v>25</v>
      </c>
      <c r="C359">
        <v>1493704</v>
      </c>
    </row>
    <row r="360" spans="1:3" x14ac:dyDescent="0.25">
      <c r="A360" t="s">
        <v>65</v>
      </c>
      <c r="B360" t="s">
        <v>26</v>
      </c>
      <c r="C360">
        <v>1528320</v>
      </c>
    </row>
    <row r="361" spans="1:3" x14ac:dyDescent="0.25">
      <c r="A361" t="s">
        <v>65</v>
      </c>
      <c r="B361" t="s">
        <v>27</v>
      </c>
      <c r="C361">
        <v>1446067</v>
      </c>
    </row>
    <row r="362" spans="1:3" x14ac:dyDescent="0.25">
      <c r="A362" t="s">
        <v>65</v>
      </c>
      <c r="B362" t="s">
        <v>28</v>
      </c>
      <c r="C362">
        <v>1523656</v>
      </c>
    </row>
    <row r="363" spans="1:3" x14ac:dyDescent="0.25">
      <c r="A363" t="s">
        <v>65</v>
      </c>
      <c r="B363" t="s">
        <v>29</v>
      </c>
      <c r="C363">
        <v>1611352</v>
      </c>
    </row>
    <row r="364" spans="1:3" x14ac:dyDescent="0.25">
      <c r="A364" t="s">
        <v>65</v>
      </c>
      <c r="B364" t="s">
        <v>30</v>
      </c>
      <c r="C364">
        <v>1687623</v>
      </c>
    </row>
    <row r="365" spans="1:3" x14ac:dyDescent="0.25">
      <c r="A365" t="s">
        <v>65</v>
      </c>
      <c r="B365" t="s">
        <v>31</v>
      </c>
      <c r="C365">
        <v>1593496</v>
      </c>
    </row>
    <row r="366" spans="1:3" x14ac:dyDescent="0.25">
      <c r="A366" t="s">
        <v>65</v>
      </c>
      <c r="B366" t="s">
        <v>32</v>
      </c>
      <c r="C366">
        <v>1616361</v>
      </c>
    </row>
    <row r="367" spans="1:3" x14ac:dyDescent="0.25">
      <c r="A367" t="s">
        <v>65</v>
      </c>
      <c r="B367" t="s">
        <v>33</v>
      </c>
      <c r="C367">
        <v>1643409</v>
      </c>
    </row>
    <row r="368" spans="1:3" x14ac:dyDescent="0.25">
      <c r="A368" t="s">
        <v>65</v>
      </c>
      <c r="B368" t="s">
        <v>34</v>
      </c>
      <c r="C368">
        <v>1731713</v>
      </c>
    </row>
    <row r="369" spans="1:3" x14ac:dyDescent="0.25">
      <c r="A369" t="s">
        <v>65</v>
      </c>
      <c r="B369" t="s">
        <v>35</v>
      </c>
      <c r="C369">
        <v>1640949</v>
      </c>
    </row>
    <row r="370" spans="1:3" x14ac:dyDescent="0.25">
      <c r="A370" t="s">
        <v>65</v>
      </c>
      <c r="B370" t="s">
        <v>36</v>
      </c>
      <c r="C370">
        <v>1603858</v>
      </c>
    </row>
    <row r="371" spans="1:3" x14ac:dyDescent="0.25">
      <c r="A371" t="s">
        <v>65</v>
      </c>
      <c r="B371" t="s">
        <v>37</v>
      </c>
      <c r="C371">
        <v>1842498</v>
      </c>
    </row>
    <row r="372" spans="1:3" x14ac:dyDescent="0.25">
      <c r="A372" t="s">
        <v>65</v>
      </c>
      <c r="B372" t="s">
        <v>38</v>
      </c>
      <c r="C372">
        <v>1812728</v>
      </c>
    </row>
    <row r="373" spans="1:3" x14ac:dyDescent="0.25">
      <c r="A373" t="s">
        <v>65</v>
      </c>
      <c r="B373" t="s">
        <v>39</v>
      </c>
      <c r="C373">
        <v>1756242</v>
      </c>
    </row>
    <row r="374" spans="1:3" x14ac:dyDescent="0.25">
      <c r="A374" t="s">
        <v>65</v>
      </c>
      <c r="B374" t="s">
        <v>40</v>
      </c>
      <c r="C374">
        <v>1753764</v>
      </c>
    </row>
    <row r="375" spans="1:3" x14ac:dyDescent="0.25">
      <c r="A375" t="s">
        <v>65</v>
      </c>
      <c r="B375" t="s">
        <v>41</v>
      </c>
      <c r="C375">
        <v>1928022</v>
      </c>
    </row>
    <row r="376" spans="1:3" x14ac:dyDescent="0.25">
      <c r="A376" t="s">
        <v>65</v>
      </c>
      <c r="B376" t="s">
        <v>42</v>
      </c>
      <c r="C376">
        <v>2007943</v>
      </c>
    </row>
    <row r="377" spans="1:3" x14ac:dyDescent="0.25">
      <c r="A377" t="s">
        <v>65</v>
      </c>
      <c r="B377" t="s">
        <v>43</v>
      </c>
      <c r="C377">
        <v>1968722</v>
      </c>
    </row>
    <row r="378" spans="1:3" x14ac:dyDescent="0.25">
      <c r="A378" t="s">
        <v>65</v>
      </c>
      <c r="B378" t="s">
        <v>44</v>
      </c>
      <c r="C378">
        <v>1871279</v>
      </c>
    </row>
    <row r="379" spans="1:3" x14ac:dyDescent="0.25">
      <c r="A379" t="s">
        <v>65</v>
      </c>
      <c r="B379" t="s">
        <v>45</v>
      </c>
      <c r="C379">
        <v>2105423</v>
      </c>
    </row>
    <row r="380" spans="1:3" x14ac:dyDescent="0.25">
      <c r="A380" t="s">
        <v>65</v>
      </c>
      <c r="B380" t="s">
        <v>46</v>
      </c>
      <c r="C380">
        <v>2086180</v>
      </c>
    </row>
    <row r="381" spans="1:3" x14ac:dyDescent="0.25">
      <c r="A381" t="s">
        <v>65</v>
      </c>
      <c r="B381" t="s">
        <v>47</v>
      </c>
      <c r="C381">
        <v>2031125</v>
      </c>
    </row>
    <row r="382" spans="1:3" x14ac:dyDescent="0.25">
      <c r="A382" t="s">
        <v>65</v>
      </c>
      <c r="B382" t="s">
        <v>48</v>
      </c>
      <c r="C382">
        <v>1588455</v>
      </c>
    </row>
    <row r="383" spans="1:3" x14ac:dyDescent="0.25">
      <c r="A383" t="s">
        <v>65</v>
      </c>
      <c r="B383" t="s">
        <v>49</v>
      </c>
      <c r="C383">
        <v>214845</v>
      </c>
    </row>
    <row r="384" spans="1:3" x14ac:dyDescent="0.25">
      <c r="A384" t="s">
        <v>65</v>
      </c>
      <c r="B384" t="s">
        <v>50</v>
      </c>
      <c r="C384">
        <v>491939</v>
      </c>
    </row>
    <row r="385" spans="1:3" x14ac:dyDescent="0.25">
      <c r="A385" t="s">
        <v>65</v>
      </c>
      <c r="B385" t="s">
        <v>51</v>
      </c>
      <c r="C385">
        <v>661323</v>
      </c>
    </row>
    <row r="386" spans="1:3" x14ac:dyDescent="0.25">
      <c r="A386" t="s">
        <v>65</v>
      </c>
      <c r="B386" t="s">
        <v>52</v>
      </c>
      <c r="C386">
        <v>732511</v>
      </c>
    </row>
    <row r="387" spans="1:3" x14ac:dyDescent="0.25">
      <c r="A387" t="s">
        <v>65</v>
      </c>
      <c r="B387" t="s">
        <v>53</v>
      </c>
      <c r="C387">
        <v>1499000</v>
      </c>
    </row>
    <row r="388" spans="1:3" x14ac:dyDescent="0.25">
      <c r="A388" t="s">
        <v>65</v>
      </c>
      <c r="B388" t="s">
        <v>54</v>
      </c>
      <c r="C388">
        <v>1971729</v>
      </c>
    </row>
    <row r="389" spans="1:3" x14ac:dyDescent="0.25">
      <c r="A389" t="s">
        <v>65</v>
      </c>
      <c r="B389" t="s">
        <v>55</v>
      </c>
      <c r="C389">
        <v>1834112</v>
      </c>
    </row>
    <row r="390" spans="1:3" x14ac:dyDescent="0.25">
      <c r="A390" t="s">
        <v>65</v>
      </c>
      <c r="B390" t="s">
        <v>56</v>
      </c>
      <c r="C390">
        <v>1736049</v>
      </c>
    </row>
    <row r="391" spans="1:3" x14ac:dyDescent="0.25">
      <c r="A391" t="s">
        <v>65</v>
      </c>
      <c r="B391" t="s">
        <v>57</v>
      </c>
      <c r="C391">
        <v>2444768</v>
      </c>
    </row>
    <row r="392" spans="1:3" x14ac:dyDescent="0.25">
      <c r="A392" t="s">
        <v>65</v>
      </c>
      <c r="B392" t="s">
        <v>58</v>
      </c>
      <c r="C392">
        <v>2562323</v>
      </c>
    </row>
    <row r="393" spans="1:3" x14ac:dyDescent="0.25">
      <c r="A393" t="s">
        <v>65</v>
      </c>
      <c r="B393" t="s">
        <v>59</v>
      </c>
      <c r="C393">
        <v>2415043</v>
      </c>
    </row>
    <row r="394" spans="1:3" x14ac:dyDescent="0.25">
      <c r="A394" t="s">
        <v>66</v>
      </c>
      <c r="B394" t="s">
        <v>3</v>
      </c>
      <c r="C394">
        <v>653137</v>
      </c>
    </row>
    <row r="395" spans="1:3" x14ac:dyDescent="0.25">
      <c r="A395" t="s">
        <v>66</v>
      </c>
      <c r="B395" t="s">
        <v>5</v>
      </c>
      <c r="C395">
        <v>749221</v>
      </c>
    </row>
    <row r="396" spans="1:3" x14ac:dyDescent="0.25">
      <c r="A396" t="s">
        <v>66</v>
      </c>
      <c r="B396" t="s">
        <v>6</v>
      </c>
      <c r="C396">
        <v>858940</v>
      </c>
    </row>
    <row r="397" spans="1:3" x14ac:dyDescent="0.25">
      <c r="A397" t="s">
        <v>66</v>
      </c>
      <c r="B397" t="s">
        <v>7</v>
      </c>
      <c r="C397">
        <v>744701</v>
      </c>
    </row>
    <row r="398" spans="1:3" x14ac:dyDescent="0.25">
      <c r="A398" t="s">
        <v>66</v>
      </c>
      <c r="B398" t="s">
        <v>8</v>
      </c>
      <c r="C398">
        <v>737612</v>
      </c>
    </row>
    <row r="399" spans="1:3" x14ac:dyDescent="0.25">
      <c r="A399" t="s">
        <v>66</v>
      </c>
      <c r="B399" t="s">
        <v>9</v>
      </c>
      <c r="C399">
        <v>872413</v>
      </c>
    </row>
    <row r="400" spans="1:3" x14ac:dyDescent="0.25">
      <c r="A400" t="s">
        <v>66</v>
      </c>
      <c r="B400" t="s">
        <v>10</v>
      </c>
      <c r="C400">
        <v>956147</v>
      </c>
    </row>
    <row r="401" spans="1:3" x14ac:dyDescent="0.25">
      <c r="A401" t="s">
        <v>66</v>
      </c>
      <c r="B401" t="s">
        <v>11</v>
      </c>
      <c r="C401">
        <v>860453</v>
      </c>
    </row>
    <row r="402" spans="1:3" x14ac:dyDescent="0.25">
      <c r="A402" t="s">
        <v>66</v>
      </c>
      <c r="B402" t="s">
        <v>12</v>
      </c>
      <c r="C402">
        <v>962809</v>
      </c>
    </row>
    <row r="403" spans="1:3" x14ac:dyDescent="0.25">
      <c r="A403" t="s">
        <v>66</v>
      </c>
      <c r="B403" t="s">
        <v>13</v>
      </c>
      <c r="C403">
        <v>1108279</v>
      </c>
    </row>
    <row r="404" spans="1:3" x14ac:dyDescent="0.25">
      <c r="A404" t="s">
        <v>66</v>
      </c>
      <c r="B404" t="s">
        <v>14</v>
      </c>
      <c r="C404">
        <v>1196092</v>
      </c>
    </row>
    <row r="405" spans="1:3" x14ac:dyDescent="0.25">
      <c r="A405" t="s">
        <v>66</v>
      </c>
      <c r="B405" t="s">
        <v>15</v>
      </c>
      <c r="C405">
        <v>1042422</v>
      </c>
    </row>
    <row r="406" spans="1:3" x14ac:dyDescent="0.25">
      <c r="A406" t="s">
        <v>66</v>
      </c>
      <c r="B406" t="s">
        <v>16</v>
      </c>
      <c r="C406">
        <v>1037359</v>
      </c>
    </row>
    <row r="407" spans="1:3" x14ac:dyDescent="0.25">
      <c r="A407" t="s">
        <v>66</v>
      </c>
      <c r="B407" t="s">
        <v>17</v>
      </c>
      <c r="C407">
        <v>1211528</v>
      </c>
    </row>
    <row r="408" spans="1:3" x14ac:dyDescent="0.25">
      <c r="A408" t="s">
        <v>66</v>
      </c>
      <c r="B408" t="s">
        <v>18</v>
      </c>
      <c r="C408">
        <v>1270296</v>
      </c>
    </row>
    <row r="409" spans="1:3" x14ac:dyDescent="0.25">
      <c r="A409" t="s">
        <v>66</v>
      </c>
      <c r="B409" t="s">
        <v>19</v>
      </c>
      <c r="C409">
        <v>1130818</v>
      </c>
    </row>
    <row r="410" spans="1:3" x14ac:dyDescent="0.25">
      <c r="A410" t="s">
        <v>66</v>
      </c>
      <c r="B410" t="s">
        <v>20</v>
      </c>
      <c r="C410">
        <v>1131639</v>
      </c>
    </row>
    <row r="411" spans="1:3" x14ac:dyDescent="0.25">
      <c r="A411" t="s">
        <v>66</v>
      </c>
      <c r="B411" t="s">
        <v>21</v>
      </c>
      <c r="C411">
        <v>1255011</v>
      </c>
    </row>
    <row r="412" spans="1:3" x14ac:dyDescent="0.25">
      <c r="A412" t="s">
        <v>66</v>
      </c>
      <c r="B412" t="s">
        <v>22</v>
      </c>
      <c r="C412">
        <v>1555316</v>
      </c>
    </row>
    <row r="413" spans="1:3" x14ac:dyDescent="0.25">
      <c r="A413" t="s">
        <v>66</v>
      </c>
      <c r="B413" t="s">
        <v>23</v>
      </c>
      <c r="C413">
        <v>1208848</v>
      </c>
    </row>
    <row r="414" spans="1:3" x14ac:dyDescent="0.25">
      <c r="A414" t="s">
        <v>66</v>
      </c>
      <c r="B414" t="s">
        <v>24</v>
      </c>
      <c r="C414">
        <v>1221373</v>
      </c>
    </row>
    <row r="415" spans="1:3" x14ac:dyDescent="0.25">
      <c r="A415" t="s">
        <v>66</v>
      </c>
      <c r="B415" t="s">
        <v>25</v>
      </c>
      <c r="C415">
        <v>1373131</v>
      </c>
    </row>
    <row r="416" spans="1:3" x14ac:dyDescent="0.25">
      <c r="A416" t="s">
        <v>66</v>
      </c>
      <c r="B416" t="s">
        <v>26</v>
      </c>
      <c r="C416">
        <v>1463350</v>
      </c>
    </row>
    <row r="417" spans="1:3" x14ac:dyDescent="0.25">
      <c r="A417" t="s">
        <v>66</v>
      </c>
      <c r="B417" t="s">
        <v>27</v>
      </c>
      <c r="C417">
        <v>1305499</v>
      </c>
    </row>
    <row r="418" spans="1:3" x14ac:dyDescent="0.25">
      <c r="A418" t="s">
        <v>66</v>
      </c>
      <c r="B418" t="s">
        <v>28</v>
      </c>
      <c r="C418">
        <v>1267731</v>
      </c>
    </row>
    <row r="419" spans="1:3" x14ac:dyDescent="0.25">
      <c r="A419" t="s">
        <v>66</v>
      </c>
      <c r="B419" t="s">
        <v>29</v>
      </c>
      <c r="C419">
        <v>1435914</v>
      </c>
    </row>
    <row r="420" spans="1:3" x14ac:dyDescent="0.25">
      <c r="A420" t="s">
        <v>66</v>
      </c>
      <c r="B420" t="s">
        <v>30</v>
      </c>
      <c r="C420">
        <v>1514010</v>
      </c>
    </row>
    <row r="421" spans="1:3" x14ac:dyDescent="0.25">
      <c r="A421" t="s">
        <v>66</v>
      </c>
      <c r="B421" t="s">
        <v>31</v>
      </c>
      <c r="C421">
        <v>1376432</v>
      </c>
    </row>
    <row r="422" spans="1:3" x14ac:dyDescent="0.25">
      <c r="A422" t="s">
        <v>66</v>
      </c>
      <c r="B422" t="s">
        <v>32</v>
      </c>
      <c r="C422">
        <v>1345762</v>
      </c>
    </row>
    <row r="423" spans="1:3" x14ac:dyDescent="0.25">
      <c r="A423" t="s">
        <v>66</v>
      </c>
      <c r="B423" t="s">
        <v>33</v>
      </c>
      <c r="C423">
        <v>1493283</v>
      </c>
    </row>
    <row r="424" spans="1:3" x14ac:dyDescent="0.25">
      <c r="A424" t="s">
        <v>66</v>
      </c>
      <c r="B424" t="s">
        <v>34</v>
      </c>
      <c r="C424">
        <v>1565294</v>
      </c>
    </row>
    <row r="425" spans="1:3" x14ac:dyDescent="0.25">
      <c r="A425" t="s">
        <v>66</v>
      </c>
      <c r="B425" t="s">
        <v>35</v>
      </c>
      <c r="C425">
        <v>1423514</v>
      </c>
    </row>
    <row r="426" spans="1:3" x14ac:dyDescent="0.25">
      <c r="A426" t="s">
        <v>66</v>
      </c>
      <c r="B426" t="s">
        <v>36</v>
      </c>
      <c r="C426">
        <v>1391087</v>
      </c>
    </row>
    <row r="427" spans="1:3" x14ac:dyDescent="0.25">
      <c r="A427" t="s">
        <v>66</v>
      </c>
      <c r="B427" t="s">
        <v>37</v>
      </c>
      <c r="C427">
        <v>1665297</v>
      </c>
    </row>
    <row r="428" spans="1:3" x14ac:dyDescent="0.25">
      <c r="A428" t="s">
        <v>66</v>
      </c>
      <c r="B428" t="s">
        <v>38</v>
      </c>
      <c r="C428">
        <v>1693104</v>
      </c>
    </row>
    <row r="429" spans="1:3" x14ac:dyDescent="0.25">
      <c r="A429" t="s">
        <v>66</v>
      </c>
      <c r="B429" t="s">
        <v>39</v>
      </c>
      <c r="C429">
        <v>1538364</v>
      </c>
    </row>
    <row r="430" spans="1:3" x14ac:dyDescent="0.25">
      <c r="A430" t="s">
        <v>66</v>
      </c>
      <c r="B430" t="s">
        <v>40</v>
      </c>
      <c r="C430">
        <v>1831218</v>
      </c>
    </row>
    <row r="431" spans="1:3" x14ac:dyDescent="0.25">
      <c r="A431" t="s">
        <v>66</v>
      </c>
      <c r="B431" t="s">
        <v>41</v>
      </c>
      <c r="C431">
        <v>2154720</v>
      </c>
    </row>
    <row r="432" spans="1:3" x14ac:dyDescent="0.25">
      <c r="A432" t="s">
        <v>66</v>
      </c>
      <c r="B432" t="s">
        <v>42</v>
      </c>
      <c r="C432">
        <v>2210301</v>
      </c>
    </row>
    <row r="433" spans="1:3" x14ac:dyDescent="0.25">
      <c r="A433" t="s">
        <v>66</v>
      </c>
      <c r="B433" t="s">
        <v>43</v>
      </c>
      <c r="C433">
        <v>2063568</v>
      </c>
    </row>
    <row r="434" spans="1:3" x14ac:dyDescent="0.25">
      <c r="A434" t="s">
        <v>66</v>
      </c>
      <c r="B434" t="s">
        <v>44</v>
      </c>
      <c r="C434">
        <v>1874887</v>
      </c>
    </row>
    <row r="435" spans="1:3" x14ac:dyDescent="0.25">
      <c r="A435" t="s">
        <v>66</v>
      </c>
      <c r="B435" t="s">
        <v>45</v>
      </c>
      <c r="C435">
        <v>2286496</v>
      </c>
    </row>
    <row r="436" spans="1:3" x14ac:dyDescent="0.25">
      <c r="A436" t="s">
        <v>66</v>
      </c>
      <c r="B436" t="s">
        <v>46</v>
      </c>
      <c r="C436">
        <v>2387392</v>
      </c>
    </row>
    <row r="437" spans="1:3" x14ac:dyDescent="0.25">
      <c r="A437" t="s">
        <v>66</v>
      </c>
      <c r="B437" t="s">
        <v>47</v>
      </c>
      <c r="C437">
        <v>2225889</v>
      </c>
    </row>
    <row r="438" spans="1:3" x14ac:dyDescent="0.25">
      <c r="A438" t="s">
        <v>66</v>
      </c>
      <c r="B438" t="s">
        <v>48</v>
      </c>
      <c r="C438">
        <v>1634978</v>
      </c>
    </row>
    <row r="439" spans="1:3" x14ac:dyDescent="0.25">
      <c r="A439" t="s">
        <v>66</v>
      </c>
      <c r="B439" t="s">
        <v>49</v>
      </c>
      <c r="C439">
        <v>420489</v>
      </c>
    </row>
    <row r="440" spans="1:3" x14ac:dyDescent="0.25">
      <c r="A440" t="s">
        <v>66</v>
      </c>
      <c r="B440" t="s">
        <v>50</v>
      </c>
      <c r="C440">
        <v>700518</v>
      </c>
    </row>
    <row r="441" spans="1:3" x14ac:dyDescent="0.25">
      <c r="A441" t="s">
        <v>66</v>
      </c>
      <c r="B441" t="s">
        <v>51</v>
      </c>
      <c r="C441">
        <v>807401</v>
      </c>
    </row>
    <row r="442" spans="1:3" x14ac:dyDescent="0.25">
      <c r="A442" t="s">
        <v>66</v>
      </c>
      <c r="B442" t="s">
        <v>52</v>
      </c>
      <c r="C442">
        <v>796808</v>
      </c>
    </row>
    <row r="443" spans="1:3" x14ac:dyDescent="0.25">
      <c r="A443" t="s">
        <v>66</v>
      </c>
      <c r="B443" t="s">
        <v>53</v>
      </c>
      <c r="C443">
        <v>1525762</v>
      </c>
    </row>
    <row r="444" spans="1:3" x14ac:dyDescent="0.25">
      <c r="A444" t="s">
        <v>66</v>
      </c>
      <c r="B444" t="s">
        <v>54</v>
      </c>
      <c r="C444">
        <v>1951437</v>
      </c>
    </row>
    <row r="445" spans="1:3" x14ac:dyDescent="0.25">
      <c r="A445" t="s">
        <v>66</v>
      </c>
      <c r="B445" t="s">
        <v>55</v>
      </c>
      <c r="C445">
        <v>1897226</v>
      </c>
    </row>
    <row r="446" spans="1:3" x14ac:dyDescent="0.25">
      <c r="A446" t="s">
        <v>66</v>
      </c>
      <c r="B446" t="s">
        <v>56</v>
      </c>
      <c r="C446">
        <v>1680082</v>
      </c>
    </row>
    <row r="447" spans="1:3" x14ac:dyDescent="0.25">
      <c r="A447" t="s">
        <v>66</v>
      </c>
      <c r="B447" t="s">
        <v>57</v>
      </c>
      <c r="C447">
        <v>2657033</v>
      </c>
    </row>
    <row r="448" spans="1:3" x14ac:dyDescent="0.25">
      <c r="A448" t="s">
        <v>66</v>
      </c>
      <c r="B448" t="s">
        <v>58</v>
      </c>
      <c r="C448">
        <v>2826317</v>
      </c>
    </row>
    <row r="449" spans="1:3" x14ac:dyDescent="0.25">
      <c r="A449" t="s">
        <v>66</v>
      </c>
      <c r="B449" t="s">
        <v>59</v>
      </c>
      <c r="C449">
        <v>2478193</v>
      </c>
    </row>
    <row r="450" spans="1:3" x14ac:dyDescent="0.25">
      <c r="A450" t="s">
        <v>67</v>
      </c>
      <c r="B450" t="s">
        <v>3</v>
      </c>
      <c r="C450">
        <v>170029</v>
      </c>
    </row>
    <row r="451" spans="1:3" x14ac:dyDescent="0.25">
      <c r="A451" t="s">
        <v>67</v>
      </c>
      <c r="B451" t="s">
        <v>5</v>
      </c>
      <c r="C451">
        <v>180407</v>
      </c>
    </row>
    <row r="452" spans="1:3" x14ac:dyDescent="0.25">
      <c r="A452" t="s">
        <v>67</v>
      </c>
      <c r="B452" t="s">
        <v>6</v>
      </c>
      <c r="C452">
        <v>178608</v>
      </c>
    </row>
    <row r="453" spans="1:3" x14ac:dyDescent="0.25">
      <c r="A453" t="s">
        <v>67</v>
      </c>
      <c r="B453" t="s">
        <v>7</v>
      </c>
      <c r="C453">
        <v>170994</v>
      </c>
    </row>
    <row r="454" spans="1:3" x14ac:dyDescent="0.25">
      <c r="A454" t="s">
        <v>67</v>
      </c>
      <c r="B454" t="s">
        <v>8</v>
      </c>
      <c r="C454">
        <v>184051</v>
      </c>
    </row>
    <row r="455" spans="1:3" x14ac:dyDescent="0.25">
      <c r="A455" t="s">
        <v>67</v>
      </c>
      <c r="B455" t="s">
        <v>9</v>
      </c>
      <c r="C455">
        <v>173395</v>
      </c>
    </row>
    <row r="456" spans="1:3" x14ac:dyDescent="0.25">
      <c r="A456" t="s">
        <v>67</v>
      </c>
      <c r="B456" t="s">
        <v>10</v>
      </c>
      <c r="C456">
        <v>205259</v>
      </c>
    </row>
    <row r="457" spans="1:3" x14ac:dyDescent="0.25">
      <c r="A457" t="s">
        <v>67</v>
      </c>
      <c r="B457" t="s">
        <v>11</v>
      </c>
      <c r="C457">
        <v>216200</v>
      </c>
    </row>
    <row r="458" spans="1:3" x14ac:dyDescent="0.25">
      <c r="A458" t="s">
        <v>67</v>
      </c>
      <c r="B458" t="s">
        <v>12</v>
      </c>
      <c r="C458">
        <v>232662</v>
      </c>
    </row>
    <row r="459" spans="1:3" x14ac:dyDescent="0.25">
      <c r="A459" t="s">
        <v>67</v>
      </c>
      <c r="B459" t="s">
        <v>13</v>
      </c>
      <c r="C459">
        <v>275891</v>
      </c>
    </row>
    <row r="460" spans="1:3" x14ac:dyDescent="0.25">
      <c r="A460" t="s">
        <v>67</v>
      </c>
      <c r="B460" t="s">
        <v>14</v>
      </c>
      <c r="C460">
        <v>288714</v>
      </c>
    </row>
    <row r="461" spans="1:3" x14ac:dyDescent="0.25">
      <c r="A461" t="s">
        <v>67</v>
      </c>
      <c r="B461" t="s">
        <v>15</v>
      </c>
      <c r="C461">
        <v>273920</v>
      </c>
    </row>
    <row r="462" spans="1:3" x14ac:dyDescent="0.25">
      <c r="A462" t="s">
        <v>67</v>
      </c>
      <c r="B462" t="s">
        <v>16</v>
      </c>
      <c r="C462">
        <v>301495</v>
      </c>
    </row>
    <row r="463" spans="1:3" x14ac:dyDescent="0.25">
      <c r="A463" t="s">
        <v>67</v>
      </c>
      <c r="B463" t="s">
        <v>17</v>
      </c>
      <c r="C463">
        <v>346308</v>
      </c>
    </row>
    <row r="464" spans="1:3" x14ac:dyDescent="0.25">
      <c r="A464" t="s">
        <v>67</v>
      </c>
      <c r="B464" t="s">
        <v>18</v>
      </c>
      <c r="C464">
        <v>342317</v>
      </c>
    </row>
    <row r="465" spans="1:3" x14ac:dyDescent="0.25">
      <c r="A465" t="s">
        <v>67</v>
      </c>
      <c r="B465" t="s">
        <v>19</v>
      </c>
      <c r="C465">
        <v>328268</v>
      </c>
    </row>
    <row r="466" spans="1:3" x14ac:dyDescent="0.25">
      <c r="A466" t="s">
        <v>67</v>
      </c>
      <c r="B466" t="s">
        <v>20</v>
      </c>
      <c r="C466">
        <v>370437</v>
      </c>
    </row>
    <row r="467" spans="1:3" x14ac:dyDescent="0.25">
      <c r="A467" t="s">
        <v>67</v>
      </c>
      <c r="B467" t="s">
        <v>21</v>
      </c>
      <c r="C467">
        <v>407339</v>
      </c>
    </row>
    <row r="468" spans="1:3" x14ac:dyDescent="0.25">
      <c r="A468" t="s">
        <v>67</v>
      </c>
      <c r="B468" t="s">
        <v>22</v>
      </c>
      <c r="C468">
        <v>456625</v>
      </c>
    </row>
    <row r="469" spans="1:3" x14ac:dyDescent="0.25">
      <c r="A469" t="s">
        <v>67</v>
      </c>
      <c r="B469" t="s">
        <v>23</v>
      </c>
      <c r="C469">
        <v>419984</v>
      </c>
    </row>
    <row r="470" spans="1:3" x14ac:dyDescent="0.25">
      <c r="A470" t="s">
        <v>67</v>
      </c>
      <c r="B470" t="s">
        <v>24</v>
      </c>
      <c r="C470">
        <v>437987</v>
      </c>
    </row>
    <row r="471" spans="1:3" x14ac:dyDescent="0.25">
      <c r="A471" t="s">
        <v>67</v>
      </c>
      <c r="B471" t="s">
        <v>25</v>
      </c>
      <c r="C471">
        <v>499337</v>
      </c>
    </row>
    <row r="472" spans="1:3" x14ac:dyDescent="0.25">
      <c r="A472" t="s">
        <v>67</v>
      </c>
      <c r="B472" t="s">
        <v>26</v>
      </c>
      <c r="C472">
        <v>519769</v>
      </c>
    </row>
    <row r="473" spans="1:3" x14ac:dyDescent="0.25">
      <c r="A473" t="s">
        <v>67</v>
      </c>
      <c r="B473" t="s">
        <v>27</v>
      </c>
      <c r="C473">
        <v>474487</v>
      </c>
    </row>
    <row r="474" spans="1:3" x14ac:dyDescent="0.25">
      <c r="A474" t="s">
        <v>67</v>
      </c>
      <c r="B474" t="s">
        <v>28</v>
      </c>
      <c r="C474">
        <v>493355</v>
      </c>
    </row>
    <row r="475" spans="1:3" x14ac:dyDescent="0.25">
      <c r="A475" t="s">
        <v>67</v>
      </c>
      <c r="B475" t="s">
        <v>29</v>
      </c>
      <c r="C475">
        <v>553421</v>
      </c>
    </row>
    <row r="476" spans="1:3" x14ac:dyDescent="0.25">
      <c r="A476" t="s">
        <v>67</v>
      </c>
      <c r="B476" t="s">
        <v>30</v>
      </c>
      <c r="C476">
        <v>574841</v>
      </c>
    </row>
    <row r="477" spans="1:3" x14ac:dyDescent="0.25">
      <c r="A477" t="s">
        <v>67</v>
      </c>
      <c r="B477" t="s">
        <v>31</v>
      </c>
      <c r="C477">
        <v>519846</v>
      </c>
    </row>
    <row r="478" spans="1:3" x14ac:dyDescent="0.25">
      <c r="A478" t="s">
        <v>67</v>
      </c>
      <c r="B478" t="s">
        <v>32</v>
      </c>
      <c r="C478">
        <v>538143</v>
      </c>
    </row>
    <row r="479" spans="1:3" x14ac:dyDescent="0.25">
      <c r="A479" t="s">
        <v>67</v>
      </c>
      <c r="B479" t="s">
        <v>33</v>
      </c>
      <c r="C479">
        <v>584133</v>
      </c>
    </row>
    <row r="480" spans="1:3" x14ac:dyDescent="0.25">
      <c r="A480" t="s">
        <v>67</v>
      </c>
      <c r="B480" t="s">
        <v>34</v>
      </c>
      <c r="C480">
        <v>621329</v>
      </c>
    </row>
    <row r="481" spans="1:3" x14ac:dyDescent="0.25">
      <c r="A481" t="s">
        <v>67</v>
      </c>
      <c r="B481" t="s">
        <v>35</v>
      </c>
      <c r="C481">
        <v>578351</v>
      </c>
    </row>
    <row r="482" spans="1:3" x14ac:dyDescent="0.25">
      <c r="A482" t="s">
        <v>67</v>
      </c>
      <c r="B482" t="s">
        <v>36</v>
      </c>
      <c r="C482">
        <v>591746</v>
      </c>
    </row>
    <row r="483" spans="1:3" x14ac:dyDescent="0.25">
      <c r="A483" t="s">
        <v>67</v>
      </c>
      <c r="B483" t="s">
        <v>37</v>
      </c>
      <c r="C483">
        <v>700389</v>
      </c>
    </row>
    <row r="484" spans="1:3" x14ac:dyDescent="0.25">
      <c r="A484" t="s">
        <v>67</v>
      </c>
      <c r="B484" t="s">
        <v>38</v>
      </c>
      <c r="C484">
        <v>687231</v>
      </c>
    </row>
    <row r="485" spans="1:3" x14ac:dyDescent="0.25">
      <c r="A485" t="s">
        <v>67</v>
      </c>
      <c r="B485" t="s">
        <v>39</v>
      </c>
      <c r="C485">
        <v>666182</v>
      </c>
    </row>
    <row r="486" spans="1:3" x14ac:dyDescent="0.25">
      <c r="A486" t="s">
        <v>67</v>
      </c>
      <c r="B486" t="s">
        <v>40</v>
      </c>
      <c r="C486">
        <v>704138</v>
      </c>
    </row>
    <row r="487" spans="1:3" x14ac:dyDescent="0.25">
      <c r="A487" t="s">
        <v>67</v>
      </c>
      <c r="B487" t="s">
        <v>41</v>
      </c>
      <c r="C487">
        <v>851772</v>
      </c>
    </row>
    <row r="488" spans="1:3" x14ac:dyDescent="0.25">
      <c r="A488" t="s">
        <v>67</v>
      </c>
      <c r="B488" t="s">
        <v>42</v>
      </c>
      <c r="C488">
        <v>904330</v>
      </c>
    </row>
    <row r="489" spans="1:3" x14ac:dyDescent="0.25">
      <c r="A489" t="s">
        <v>67</v>
      </c>
      <c r="B489" t="s">
        <v>43</v>
      </c>
      <c r="C489">
        <v>862795</v>
      </c>
    </row>
    <row r="490" spans="1:3" x14ac:dyDescent="0.25">
      <c r="A490" t="s">
        <v>67</v>
      </c>
      <c r="B490" t="s">
        <v>44</v>
      </c>
      <c r="C490">
        <v>855796</v>
      </c>
    </row>
    <row r="491" spans="1:3" x14ac:dyDescent="0.25">
      <c r="A491" t="s">
        <v>67</v>
      </c>
      <c r="B491" t="s">
        <v>45</v>
      </c>
      <c r="C491">
        <v>1012956</v>
      </c>
    </row>
    <row r="492" spans="1:3" x14ac:dyDescent="0.25">
      <c r="A492" t="s">
        <v>67</v>
      </c>
      <c r="B492" t="s">
        <v>46</v>
      </c>
      <c r="C492">
        <v>991968</v>
      </c>
    </row>
    <row r="493" spans="1:3" x14ac:dyDescent="0.25">
      <c r="A493" t="s">
        <v>67</v>
      </c>
      <c r="B493" t="s">
        <v>47</v>
      </c>
      <c r="C493">
        <v>969816</v>
      </c>
    </row>
    <row r="494" spans="1:3" x14ac:dyDescent="0.25">
      <c r="A494" t="s">
        <v>67</v>
      </c>
      <c r="B494" t="s">
        <v>48</v>
      </c>
      <c r="C494">
        <v>771081</v>
      </c>
    </row>
    <row r="495" spans="1:3" x14ac:dyDescent="0.25">
      <c r="A495" t="s">
        <v>67</v>
      </c>
      <c r="B495" t="s">
        <v>49</v>
      </c>
      <c r="C495">
        <v>138529</v>
      </c>
    </row>
    <row r="496" spans="1:3" x14ac:dyDescent="0.25">
      <c r="A496" t="s">
        <v>67</v>
      </c>
      <c r="B496" t="s">
        <v>50</v>
      </c>
      <c r="C496">
        <v>401922</v>
      </c>
    </row>
    <row r="497" spans="1:3" x14ac:dyDescent="0.25">
      <c r="A497" t="s">
        <v>67</v>
      </c>
      <c r="B497" t="s">
        <v>51</v>
      </c>
      <c r="C497">
        <v>498490</v>
      </c>
    </row>
    <row r="498" spans="1:3" x14ac:dyDescent="0.25">
      <c r="A498" t="s">
        <v>67</v>
      </c>
      <c r="B498" t="s">
        <v>52</v>
      </c>
      <c r="C498">
        <v>461279</v>
      </c>
    </row>
    <row r="499" spans="1:3" x14ac:dyDescent="0.25">
      <c r="A499" t="s">
        <v>67</v>
      </c>
      <c r="B499" t="s">
        <v>53</v>
      </c>
      <c r="C499">
        <v>859309</v>
      </c>
    </row>
    <row r="500" spans="1:3" x14ac:dyDescent="0.25">
      <c r="A500" t="s">
        <v>67</v>
      </c>
      <c r="B500" t="s">
        <v>54</v>
      </c>
      <c r="C500">
        <v>922631</v>
      </c>
    </row>
    <row r="501" spans="1:3" x14ac:dyDescent="0.25">
      <c r="A501" t="s">
        <v>67</v>
      </c>
      <c r="B501" t="s">
        <v>55</v>
      </c>
      <c r="C501">
        <v>987556</v>
      </c>
    </row>
    <row r="502" spans="1:3" x14ac:dyDescent="0.25">
      <c r="A502" t="s">
        <v>67</v>
      </c>
      <c r="B502" t="s">
        <v>56</v>
      </c>
      <c r="C502">
        <v>967315</v>
      </c>
    </row>
    <row r="503" spans="1:3" x14ac:dyDescent="0.25">
      <c r="A503" t="s">
        <v>67</v>
      </c>
      <c r="B503" t="s">
        <v>57</v>
      </c>
      <c r="C503">
        <v>1366643</v>
      </c>
    </row>
    <row r="504" spans="1:3" x14ac:dyDescent="0.25">
      <c r="A504" t="s">
        <v>67</v>
      </c>
      <c r="B504" t="s">
        <v>58</v>
      </c>
      <c r="C504">
        <v>1343179</v>
      </c>
    </row>
    <row r="505" spans="1:3" x14ac:dyDescent="0.25">
      <c r="A505" t="s">
        <v>67</v>
      </c>
      <c r="B505" t="s">
        <v>59</v>
      </c>
      <c r="C505">
        <v>1391310</v>
      </c>
    </row>
    <row r="506" spans="1:3" x14ac:dyDescent="0.25">
      <c r="A506" t="s">
        <v>68</v>
      </c>
      <c r="B506" t="s">
        <v>3</v>
      </c>
      <c r="C506">
        <v>263919</v>
      </c>
    </row>
    <row r="507" spans="1:3" x14ac:dyDescent="0.25">
      <c r="A507" t="s">
        <v>68</v>
      </c>
      <c r="B507" t="s">
        <v>5</v>
      </c>
      <c r="C507">
        <v>275609</v>
      </c>
    </row>
    <row r="508" spans="1:3" x14ac:dyDescent="0.25">
      <c r="A508" t="s">
        <v>68</v>
      </c>
      <c r="B508" t="s">
        <v>6</v>
      </c>
      <c r="C508">
        <v>301432</v>
      </c>
    </row>
    <row r="509" spans="1:3" x14ac:dyDescent="0.25">
      <c r="A509" t="s">
        <v>68</v>
      </c>
      <c r="B509" t="s">
        <v>7</v>
      </c>
      <c r="C509">
        <v>272437</v>
      </c>
    </row>
    <row r="510" spans="1:3" x14ac:dyDescent="0.25">
      <c r="A510" t="s">
        <v>68</v>
      </c>
      <c r="B510" t="s">
        <v>8</v>
      </c>
      <c r="C510">
        <v>269795</v>
      </c>
    </row>
    <row r="511" spans="1:3" x14ac:dyDescent="0.25">
      <c r="A511" t="s">
        <v>68</v>
      </c>
      <c r="B511" t="s">
        <v>9</v>
      </c>
      <c r="C511">
        <v>316200</v>
      </c>
    </row>
    <row r="512" spans="1:3" x14ac:dyDescent="0.25">
      <c r="A512" t="s">
        <v>68</v>
      </c>
      <c r="B512" t="s">
        <v>10</v>
      </c>
      <c r="C512">
        <v>346103</v>
      </c>
    </row>
    <row r="513" spans="1:3" x14ac:dyDescent="0.25">
      <c r="A513" t="s">
        <v>68</v>
      </c>
      <c r="B513" t="s">
        <v>11</v>
      </c>
      <c r="C513">
        <v>384851</v>
      </c>
    </row>
    <row r="514" spans="1:3" x14ac:dyDescent="0.25">
      <c r="A514" t="s">
        <v>68</v>
      </c>
      <c r="B514" t="s">
        <v>12</v>
      </c>
      <c r="C514">
        <v>387055</v>
      </c>
    </row>
    <row r="515" spans="1:3" x14ac:dyDescent="0.25">
      <c r="A515" t="s">
        <v>68</v>
      </c>
      <c r="B515" t="s">
        <v>13</v>
      </c>
      <c r="C515">
        <v>454390</v>
      </c>
    </row>
    <row r="516" spans="1:3" x14ac:dyDescent="0.25">
      <c r="A516" t="s">
        <v>68</v>
      </c>
      <c r="B516" t="s">
        <v>14</v>
      </c>
      <c r="C516">
        <v>481967</v>
      </c>
    </row>
    <row r="517" spans="1:3" x14ac:dyDescent="0.25">
      <c r="A517" t="s">
        <v>68</v>
      </c>
      <c r="B517" t="s">
        <v>15</v>
      </c>
      <c r="C517">
        <v>338502</v>
      </c>
    </row>
    <row r="518" spans="1:3" x14ac:dyDescent="0.25">
      <c r="A518" t="s">
        <v>68</v>
      </c>
      <c r="B518" t="s">
        <v>16</v>
      </c>
      <c r="C518">
        <v>342332</v>
      </c>
    </row>
    <row r="519" spans="1:3" x14ac:dyDescent="0.25">
      <c r="A519" t="s">
        <v>68</v>
      </c>
      <c r="B519" t="s">
        <v>17</v>
      </c>
      <c r="C519">
        <v>370715</v>
      </c>
    </row>
    <row r="520" spans="1:3" x14ac:dyDescent="0.25">
      <c r="A520" t="s">
        <v>68</v>
      </c>
      <c r="B520" t="s">
        <v>18</v>
      </c>
      <c r="C520">
        <v>375779</v>
      </c>
    </row>
    <row r="521" spans="1:3" x14ac:dyDescent="0.25">
      <c r="A521" t="s">
        <v>68</v>
      </c>
      <c r="B521" t="s">
        <v>19</v>
      </c>
      <c r="C521">
        <v>344640</v>
      </c>
    </row>
    <row r="522" spans="1:3" x14ac:dyDescent="0.25">
      <c r="A522" t="s">
        <v>68</v>
      </c>
      <c r="B522" t="s">
        <v>20</v>
      </c>
      <c r="C522">
        <v>310866</v>
      </c>
    </row>
    <row r="523" spans="1:3" x14ac:dyDescent="0.25">
      <c r="A523" t="s">
        <v>68</v>
      </c>
      <c r="B523" t="s">
        <v>21</v>
      </c>
      <c r="C523">
        <v>327672</v>
      </c>
    </row>
    <row r="524" spans="1:3" x14ac:dyDescent="0.25">
      <c r="A524" t="s">
        <v>68</v>
      </c>
      <c r="B524" t="s">
        <v>22</v>
      </c>
      <c r="C524">
        <v>372432</v>
      </c>
    </row>
    <row r="525" spans="1:3" x14ac:dyDescent="0.25">
      <c r="A525" t="s">
        <v>68</v>
      </c>
      <c r="B525" t="s">
        <v>23</v>
      </c>
      <c r="C525">
        <v>337582</v>
      </c>
    </row>
    <row r="526" spans="1:3" x14ac:dyDescent="0.25">
      <c r="A526" t="s">
        <v>68</v>
      </c>
      <c r="B526" t="s">
        <v>24</v>
      </c>
      <c r="C526">
        <v>328419</v>
      </c>
    </row>
    <row r="527" spans="1:3" x14ac:dyDescent="0.25">
      <c r="A527" t="s">
        <v>68</v>
      </c>
      <c r="B527" t="s">
        <v>25</v>
      </c>
      <c r="C527">
        <v>392939</v>
      </c>
    </row>
    <row r="528" spans="1:3" x14ac:dyDescent="0.25">
      <c r="A528" t="s">
        <v>68</v>
      </c>
      <c r="B528" t="s">
        <v>26</v>
      </c>
      <c r="C528">
        <v>448374</v>
      </c>
    </row>
    <row r="529" spans="1:3" x14ac:dyDescent="0.25">
      <c r="A529" t="s">
        <v>68</v>
      </c>
      <c r="B529" t="s">
        <v>27</v>
      </c>
      <c r="C529">
        <v>405137</v>
      </c>
    </row>
    <row r="530" spans="1:3" x14ac:dyDescent="0.25">
      <c r="A530" t="s">
        <v>68</v>
      </c>
      <c r="B530" t="s">
        <v>28</v>
      </c>
      <c r="C530">
        <v>369422</v>
      </c>
    </row>
    <row r="531" spans="1:3" x14ac:dyDescent="0.25">
      <c r="A531" t="s">
        <v>68</v>
      </c>
      <c r="B531" t="s">
        <v>29</v>
      </c>
      <c r="C531">
        <v>412924</v>
      </c>
    </row>
    <row r="532" spans="1:3" x14ac:dyDescent="0.25">
      <c r="A532" t="s">
        <v>68</v>
      </c>
      <c r="B532" t="s">
        <v>30</v>
      </c>
      <c r="C532">
        <v>417534</v>
      </c>
    </row>
    <row r="533" spans="1:3" x14ac:dyDescent="0.25">
      <c r="A533" t="s">
        <v>68</v>
      </c>
      <c r="B533" t="s">
        <v>31</v>
      </c>
      <c r="C533">
        <v>404132</v>
      </c>
    </row>
    <row r="534" spans="1:3" x14ac:dyDescent="0.25">
      <c r="A534" t="s">
        <v>68</v>
      </c>
      <c r="B534" t="s">
        <v>32</v>
      </c>
      <c r="C534">
        <v>368125</v>
      </c>
    </row>
    <row r="535" spans="1:3" x14ac:dyDescent="0.25">
      <c r="A535" t="s">
        <v>68</v>
      </c>
      <c r="B535" t="s">
        <v>33</v>
      </c>
      <c r="C535">
        <v>420351</v>
      </c>
    </row>
    <row r="536" spans="1:3" x14ac:dyDescent="0.25">
      <c r="A536" t="s">
        <v>68</v>
      </c>
      <c r="B536" t="s">
        <v>34</v>
      </c>
      <c r="C536">
        <v>490626</v>
      </c>
    </row>
    <row r="537" spans="1:3" x14ac:dyDescent="0.25">
      <c r="A537" t="s">
        <v>68</v>
      </c>
      <c r="B537" t="s">
        <v>35</v>
      </c>
      <c r="C537">
        <v>434475</v>
      </c>
    </row>
    <row r="538" spans="1:3" x14ac:dyDescent="0.25">
      <c r="A538" t="s">
        <v>68</v>
      </c>
      <c r="B538" t="s">
        <v>36</v>
      </c>
      <c r="C538">
        <v>429929</v>
      </c>
    </row>
    <row r="539" spans="1:3" x14ac:dyDescent="0.25">
      <c r="A539" t="s">
        <v>68</v>
      </c>
      <c r="B539" t="s">
        <v>37</v>
      </c>
      <c r="C539">
        <v>506579</v>
      </c>
    </row>
    <row r="540" spans="1:3" x14ac:dyDescent="0.25">
      <c r="A540" t="s">
        <v>68</v>
      </c>
      <c r="B540" t="s">
        <v>38</v>
      </c>
      <c r="C540">
        <v>486947</v>
      </c>
    </row>
    <row r="541" spans="1:3" x14ac:dyDescent="0.25">
      <c r="A541" t="s">
        <v>68</v>
      </c>
      <c r="B541" t="s">
        <v>39</v>
      </c>
      <c r="C541">
        <v>491286</v>
      </c>
    </row>
    <row r="542" spans="1:3" x14ac:dyDescent="0.25">
      <c r="A542" t="s">
        <v>68</v>
      </c>
      <c r="B542" t="s">
        <v>40</v>
      </c>
      <c r="C542">
        <v>501374</v>
      </c>
    </row>
    <row r="543" spans="1:3" x14ac:dyDescent="0.25">
      <c r="A543" t="s">
        <v>68</v>
      </c>
      <c r="B543" t="s">
        <v>41</v>
      </c>
      <c r="C543">
        <v>556016</v>
      </c>
    </row>
    <row r="544" spans="1:3" x14ac:dyDescent="0.25">
      <c r="A544" t="s">
        <v>68</v>
      </c>
      <c r="B544" t="s">
        <v>42</v>
      </c>
      <c r="C544">
        <v>544751</v>
      </c>
    </row>
    <row r="545" spans="1:3" x14ac:dyDescent="0.25">
      <c r="A545" t="s">
        <v>68</v>
      </c>
      <c r="B545" t="s">
        <v>43</v>
      </c>
      <c r="C545">
        <v>553717</v>
      </c>
    </row>
    <row r="546" spans="1:3" x14ac:dyDescent="0.25">
      <c r="A546" t="s">
        <v>68</v>
      </c>
      <c r="B546" t="s">
        <v>44</v>
      </c>
      <c r="C546">
        <v>546583</v>
      </c>
    </row>
    <row r="547" spans="1:3" x14ac:dyDescent="0.25">
      <c r="A547" t="s">
        <v>68</v>
      </c>
      <c r="B547" t="s">
        <v>45</v>
      </c>
      <c r="C547">
        <v>637664</v>
      </c>
    </row>
    <row r="548" spans="1:3" x14ac:dyDescent="0.25">
      <c r="A548" t="s">
        <v>68</v>
      </c>
      <c r="B548" t="s">
        <v>46</v>
      </c>
      <c r="C548">
        <v>668517</v>
      </c>
    </row>
    <row r="549" spans="1:3" x14ac:dyDescent="0.25">
      <c r="A549" t="s">
        <v>68</v>
      </c>
      <c r="B549" t="s">
        <v>47</v>
      </c>
      <c r="C549">
        <v>655586</v>
      </c>
    </row>
    <row r="550" spans="1:3" x14ac:dyDescent="0.25">
      <c r="A550" t="s">
        <v>68</v>
      </c>
      <c r="B550" t="s">
        <v>48</v>
      </c>
      <c r="C550">
        <v>543918</v>
      </c>
    </row>
    <row r="551" spans="1:3" x14ac:dyDescent="0.25">
      <c r="A551" t="s">
        <v>68</v>
      </c>
      <c r="B551" t="s">
        <v>49</v>
      </c>
      <c r="C551">
        <v>194261</v>
      </c>
    </row>
    <row r="552" spans="1:3" x14ac:dyDescent="0.25">
      <c r="A552" t="s">
        <v>68</v>
      </c>
      <c r="B552" t="s">
        <v>50</v>
      </c>
      <c r="C552">
        <v>245098</v>
      </c>
    </row>
    <row r="553" spans="1:3" x14ac:dyDescent="0.25">
      <c r="A553" t="s">
        <v>68</v>
      </c>
      <c r="B553" t="s">
        <v>51</v>
      </c>
      <c r="C553">
        <v>266729</v>
      </c>
    </row>
    <row r="554" spans="1:3" x14ac:dyDescent="0.25">
      <c r="A554" t="s">
        <v>68</v>
      </c>
      <c r="B554" t="s">
        <v>52</v>
      </c>
      <c r="C554">
        <v>271196</v>
      </c>
    </row>
    <row r="555" spans="1:3" x14ac:dyDescent="0.25">
      <c r="A555" t="s">
        <v>68</v>
      </c>
      <c r="B555" t="s">
        <v>53</v>
      </c>
      <c r="C555">
        <v>549354</v>
      </c>
    </row>
    <row r="556" spans="1:3" x14ac:dyDescent="0.25">
      <c r="A556" t="s">
        <v>68</v>
      </c>
      <c r="B556" t="s">
        <v>54</v>
      </c>
      <c r="C556">
        <v>630104</v>
      </c>
    </row>
    <row r="557" spans="1:3" x14ac:dyDescent="0.25">
      <c r="A557" t="s">
        <v>68</v>
      </c>
      <c r="B557" t="s">
        <v>55</v>
      </c>
      <c r="C557">
        <v>609619</v>
      </c>
    </row>
    <row r="558" spans="1:3" x14ac:dyDescent="0.25">
      <c r="A558" t="s">
        <v>68</v>
      </c>
      <c r="B558" t="s">
        <v>56</v>
      </c>
      <c r="C558">
        <v>605147</v>
      </c>
    </row>
    <row r="559" spans="1:3" x14ac:dyDescent="0.25">
      <c r="A559" t="s">
        <v>68</v>
      </c>
      <c r="B559" t="s">
        <v>57</v>
      </c>
      <c r="C559">
        <v>908531</v>
      </c>
    </row>
    <row r="560" spans="1:3" x14ac:dyDescent="0.25">
      <c r="A560" t="s">
        <v>68</v>
      </c>
      <c r="B560" t="s">
        <v>58</v>
      </c>
      <c r="C560">
        <v>906463</v>
      </c>
    </row>
    <row r="561" spans="1:3" x14ac:dyDescent="0.25">
      <c r="A561" t="s">
        <v>68</v>
      </c>
      <c r="B561" t="s">
        <v>59</v>
      </c>
      <c r="C561">
        <v>905887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E617F-688C-4842-86B0-8DF5B19126A4}">
  <dimension ref="A1:C561"/>
  <sheetViews>
    <sheetView workbookViewId="0"/>
  </sheetViews>
  <sheetFormatPr defaultRowHeight="15" x14ac:dyDescent="0.25"/>
  <cols>
    <col min="1" max="1" width="15" bestFit="1" customWidth="1"/>
    <col min="2" max="2" width="17.42578125" bestFit="1" customWidth="1"/>
    <col min="3" max="3" width="13.28515625" bestFit="1" customWidth="1"/>
  </cols>
  <sheetData>
    <row r="1" spans="1:3" x14ac:dyDescent="0.25">
      <c r="A1" t="s">
        <v>0</v>
      </c>
      <c r="B1" t="s">
        <v>1</v>
      </c>
      <c r="C1" t="s">
        <v>69</v>
      </c>
    </row>
    <row r="2" spans="1:3" x14ac:dyDescent="0.25">
      <c r="A2" t="s">
        <v>3</v>
      </c>
      <c r="B2" t="s">
        <v>4</v>
      </c>
      <c r="C2">
        <v>78.61666666666666</v>
      </c>
    </row>
    <row r="3" spans="1:3" x14ac:dyDescent="0.25">
      <c r="A3" t="s">
        <v>5</v>
      </c>
      <c r="B3" t="s">
        <v>4</v>
      </c>
      <c r="C3">
        <v>85.423333333333332</v>
      </c>
    </row>
    <row r="4" spans="1:3" x14ac:dyDescent="0.25">
      <c r="A4" t="s">
        <v>6</v>
      </c>
      <c r="B4" t="s">
        <v>4</v>
      </c>
      <c r="C4">
        <v>85.183333333333337</v>
      </c>
    </row>
    <row r="5" spans="1:3" x14ac:dyDescent="0.25">
      <c r="A5" t="s">
        <v>7</v>
      </c>
      <c r="B5" t="s">
        <v>4</v>
      </c>
      <c r="C5">
        <v>81.926666666666662</v>
      </c>
    </row>
    <row r="6" spans="1:3" x14ac:dyDescent="0.25">
      <c r="A6" t="s">
        <v>8</v>
      </c>
      <c r="B6" t="s">
        <v>4</v>
      </c>
      <c r="C6">
        <v>78.86666666666666</v>
      </c>
    </row>
    <row r="7" spans="1:3" x14ac:dyDescent="0.25">
      <c r="A7" t="s">
        <v>9</v>
      </c>
      <c r="B7" t="s">
        <v>4</v>
      </c>
      <c r="C7">
        <v>86.066666666666663</v>
      </c>
    </row>
    <row r="8" spans="1:3" x14ac:dyDescent="0.25">
      <c r="A8" t="s">
        <v>10</v>
      </c>
      <c r="B8" t="s">
        <v>4</v>
      </c>
      <c r="C8">
        <v>84.96</v>
      </c>
    </row>
    <row r="9" spans="1:3" x14ac:dyDescent="0.25">
      <c r="A9" t="s">
        <v>11</v>
      </c>
      <c r="B9" t="s">
        <v>4</v>
      </c>
      <c r="C9">
        <v>82.633333333333326</v>
      </c>
    </row>
    <row r="10" spans="1:3" x14ac:dyDescent="0.25">
      <c r="A10" t="s">
        <v>12</v>
      </c>
      <c r="B10" t="s">
        <v>4</v>
      </c>
      <c r="C10">
        <v>78.486666666666665</v>
      </c>
    </row>
    <row r="11" spans="1:3" x14ac:dyDescent="0.25">
      <c r="A11" t="s">
        <v>13</v>
      </c>
      <c r="B11" t="s">
        <v>4</v>
      </c>
      <c r="C11">
        <v>85.89</v>
      </c>
    </row>
    <row r="12" spans="1:3" x14ac:dyDescent="0.25">
      <c r="A12" t="s">
        <v>14</v>
      </c>
      <c r="B12" t="s">
        <v>4</v>
      </c>
      <c r="C12">
        <v>85.693333333333328</v>
      </c>
    </row>
    <row r="13" spans="1:3" x14ac:dyDescent="0.25">
      <c r="A13" t="s">
        <v>15</v>
      </c>
      <c r="B13" t="s">
        <v>4</v>
      </c>
      <c r="C13">
        <v>83.88333333333334</v>
      </c>
    </row>
    <row r="14" spans="1:3" x14ac:dyDescent="0.25">
      <c r="A14" t="s">
        <v>16</v>
      </c>
      <c r="B14" t="s">
        <v>4</v>
      </c>
      <c r="C14">
        <v>80.430000000000007</v>
      </c>
    </row>
    <row r="15" spans="1:3" x14ac:dyDescent="0.25">
      <c r="A15" t="s">
        <v>17</v>
      </c>
      <c r="B15" t="s">
        <v>4</v>
      </c>
      <c r="C15">
        <v>86.696666666666658</v>
      </c>
    </row>
    <row r="16" spans="1:3" x14ac:dyDescent="0.25">
      <c r="A16" t="s">
        <v>18</v>
      </c>
      <c r="B16" t="s">
        <v>4</v>
      </c>
      <c r="C16">
        <v>85.68</v>
      </c>
    </row>
    <row r="17" spans="1:3" x14ac:dyDescent="0.25">
      <c r="A17" t="s">
        <v>19</v>
      </c>
      <c r="B17" t="s">
        <v>4</v>
      </c>
      <c r="C17">
        <v>83.23</v>
      </c>
    </row>
    <row r="18" spans="1:3" x14ac:dyDescent="0.25">
      <c r="A18" t="s">
        <v>20</v>
      </c>
      <c r="B18" t="s">
        <v>4</v>
      </c>
      <c r="C18">
        <v>82.320000000000007</v>
      </c>
    </row>
    <row r="19" spans="1:3" x14ac:dyDescent="0.25">
      <c r="A19" t="s">
        <v>21</v>
      </c>
      <c r="B19" t="s">
        <v>4</v>
      </c>
      <c r="C19">
        <v>87.036666666666662</v>
      </c>
    </row>
    <row r="20" spans="1:3" x14ac:dyDescent="0.25">
      <c r="A20" t="s">
        <v>22</v>
      </c>
      <c r="B20" t="s">
        <v>4</v>
      </c>
      <c r="C20">
        <v>85.27</v>
      </c>
    </row>
    <row r="21" spans="1:3" x14ac:dyDescent="0.25">
      <c r="A21" t="s">
        <v>23</v>
      </c>
      <c r="B21" t="s">
        <v>4</v>
      </c>
      <c r="C21">
        <v>83.166666666666671</v>
      </c>
    </row>
    <row r="22" spans="1:3" x14ac:dyDescent="0.25">
      <c r="A22" t="s">
        <v>24</v>
      </c>
      <c r="B22" t="s">
        <v>4</v>
      </c>
      <c r="C22">
        <v>82.97</v>
      </c>
    </row>
    <row r="23" spans="1:3" x14ac:dyDescent="0.25">
      <c r="A23" t="s">
        <v>25</v>
      </c>
      <c r="B23" t="s">
        <v>4</v>
      </c>
      <c r="C23">
        <v>87.713333333333338</v>
      </c>
    </row>
    <row r="24" spans="1:3" x14ac:dyDescent="0.25">
      <c r="A24" t="s">
        <v>26</v>
      </c>
      <c r="B24" t="s">
        <v>4</v>
      </c>
      <c r="C24">
        <v>86.46</v>
      </c>
    </row>
    <row r="25" spans="1:3" x14ac:dyDescent="0.25">
      <c r="A25" t="s">
        <v>27</v>
      </c>
      <c r="B25" t="s">
        <v>4</v>
      </c>
      <c r="C25">
        <v>82.49</v>
      </c>
    </row>
    <row r="26" spans="1:3" x14ac:dyDescent="0.25">
      <c r="A26" t="s">
        <v>28</v>
      </c>
      <c r="B26" t="s">
        <v>4</v>
      </c>
      <c r="C26">
        <v>82.533333333333331</v>
      </c>
    </row>
    <row r="27" spans="1:3" x14ac:dyDescent="0.25">
      <c r="A27" t="s">
        <v>29</v>
      </c>
      <c r="B27" t="s">
        <v>4</v>
      </c>
      <c r="C27">
        <v>86.28</v>
      </c>
    </row>
    <row r="28" spans="1:3" x14ac:dyDescent="0.25">
      <c r="A28" t="s">
        <v>30</v>
      </c>
      <c r="B28" t="s">
        <v>4</v>
      </c>
      <c r="C28">
        <v>88.11</v>
      </c>
    </row>
    <row r="29" spans="1:3" x14ac:dyDescent="0.25">
      <c r="A29" t="s">
        <v>31</v>
      </c>
      <c r="B29" t="s">
        <v>4</v>
      </c>
      <c r="C29">
        <v>86.183333333333337</v>
      </c>
    </row>
    <row r="30" spans="1:3" x14ac:dyDescent="0.25">
      <c r="A30" t="s">
        <v>32</v>
      </c>
      <c r="B30" t="s">
        <v>4</v>
      </c>
      <c r="C30">
        <v>83.14</v>
      </c>
    </row>
    <row r="31" spans="1:3" x14ac:dyDescent="0.25">
      <c r="A31" t="s">
        <v>33</v>
      </c>
      <c r="B31" t="s">
        <v>4</v>
      </c>
      <c r="C31">
        <v>86.33</v>
      </c>
    </row>
    <row r="32" spans="1:3" x14ac:dyDescent="0.25">
      <c r="A32" t="s">
        <v>34</v>
      </c>
      <c r="B32" t="s">
        <v>4</v>
      </c>
      <c r="C32">
        <v>85.63</v>
      </c>
    </row>
    <row r="33" spans="1:3" x14ac:dyDescent="0.25">
      <c r="A33" t="s">
        <v>35</v>
      </c>
      <c r="B33" t="s">
        <v>4</v>
      </c>
      <c r="C33">
        <v>84.123333333333335</v>
      </c>
    </row>
    <row r="34" spans="1:3" x14ac:dyDescent="0.25">
      <c r="A34" t="s">
        <v>36</v>
      </c>
      <c r="B34" t="s">
        <v>4</v>
      </c>
      <c r="C34">
        <v>82.35</v>
      </c>
    </row>
    <row r="35" spans="1:3" x14ac:dyDescent="0.25">
      <c r="A35" t="s">
        <v>37</v>
      </c>
      <c r="B35" t="s">
        <v>4</v>
      </c>
      <c r="C35">
        <v>86</v>
      </c>
    </row>
    <row r="36" spans="1:3" x14ac:dyDescent="0.25">
      <c r="A36" t="s">
        <v>38</v>
      </c>
      <c r="B36" t="s">
        <v>4</v>
      </c>
      <c r="C36">
        <v>85.11</v>
      </c>
    </row>
    <row r="37" spans="1:3" x14ac:dyDescent="0.25">
      <c r="A37" t="s">
        <v>39</v>
      </c>
      <c r="B37" t="s">
        <v>4</v>
      </c>
      <c r="C37">
        <v>86.35</v>
      </c>
    </row>
    <row r="38" spans="1:3" x14ac:dyDescent="0.25">
      <c r="A38" t="s">
        <v>40</v>
      </c>
      <c r="B38" t="s">
        <v>4</v>
      </c>
      <c r="C38">
        <v>83.933333333333337</v>
      </c>
    </row>
    <row r="39" spans="1:3" x14ac:dyDescent="0.25">
      <c r="A39" t="s">
        <v>41</v>
      </c>
      <c r="B39" t="s">
        <v>4</v>
      </c>
      <c r="C39">
        <v>86.916666666666671</v>
      </c>
    </row>
    <row r="40" spans="1:3" x14ac:dyDescent="0.25">
      <c r="A40" t="s">
        <v>42</v>
      </c>
      <c r="B40" t="s">
        <v>4</v>
      </c>
      <c r="C40">
        <v>84.86</v>
      </c>
    </row>
    <row r="41" spans="1:3" x14ac:dyDescent="0.25">
      <c r="A41" t="s">
        <v>43</v>
      </c>
      <c r="B41" t="s">
        <v>4</v>
      </c>
      <c r="C41">
        <v>84.436666666666667</v>
      </c>
    </row>
    <row r="42" spans="1:3" x14ac:dyDescent="0.25">
      <c r="A42" t="s">
        <v>44</v>
      </c>
      <c r="B42" t="s">
        <v>4</v>
      </c>
      <c r="C42">
        <v>84.783333333333331</v>
      </c>
    </row>
    <row r="43" spans="1:3" x14ac:dyDescent="0.25">
      <c r="A43" t="s">
        <v>45</v>
      </c>
      <c r="B43" t="s">
        <v>4</v>
      </c>
      <c r="C43">
        <v>89.72999999999999</v>
      </c>
    </row>
    <row r="44" spans="1:3" x14ac:dyDescent="0.25">
      <c r="A44" t="s">
        <v>46</v>
      </c>
      <c r="B44" t="s">
        <v>4</v>
      </c>
      <c r="C44">
        <v>87.48</v>
      </c>
    </row>
    <row r="45" spans="1:3" x14ac:dyDescent="0.25">
      <c r="A45" t="s">
        <v>47</v>
      </c>
      <c r="B45" t="s">
        <v>4</v>
      </c>
      <c r="C45">
        <v>85.44</v>
      </c>
    </row>
    <row r="46" spans="1:3" x14ac:dyDescent="0.25">
      <c r="A46" t="s">
        <v>48</v>
      </c>
      <c r="B46" t="s">
        <v>4</v>
      </c>
      <c r="C46">
        <v>72.763333333333321</v>
      </c>
    </row>
    <row r="47" spans="1:3" x14ac:dyDescent="0.25">
      <c r="A47" t="s">
        <v>49</v>
      </c>
      <c r="B47" t="s">
        <v>4</v>
      </c>
      <c r="C47">
        <v>44.073333333333331</v>
      </c>
    </row>
    <row r="48" spans="1:3" x14ac:dyDescent="0.25">
      <c r="A48" t="s">
        <v>50</v>
      </c>
      <c r="B48" t="s">
        <v>4</v>
      </c>
      <c r="C48">
        <v>63.120000000000005</v>
      </c>
    </row>
    <row r="49" spans="1:3" x14ac:dyDescent="0.25">
      <c r="A49" t="s">
        <v>51</v>
      </c>
      <c r="B49" t="s">
        <v>4</v>
      </c>
      <c r="C49">
        <v>68.156666666666666</v>
      </c>
    </row>
    <row r="50" spans="1:3" x14ac:dyDescent="0.25">
      <c r="A50" t="s">
        <v>52</v>
      </c>
      <c r="B50" t="s">
        <v>4</v>
      </c>
      <c r="C50">
        <v>65.44</v>
      </c>
    </row>
    <row r="51" spans="1:3" x14ac:dyDescent="0.25">
      <c r="A51" t="s">
        <v>53</v>
      </c>
      <c r="B51" t="s">
        <v>4</v>
      </c>
      <c r="C51">
        <v>85.623333333333335</v>
      </c>
    </row>
    <row r="52" spans="1:3" x14ac:dyDescent="0.25">
      <c r="A52" t="s">
        <v>54</v>
      </c>
      <c r="B52" t="s">
        <v>4</v>
      </c>
      <c r="C52">
        <v>84.2</v>
      </c>
    </row>
    <row r="53" spans="1:3" x14ac:dyDescent="0.25">
      <c r="A53" t="s">
        <v>55</v>
      </c>
      <c r="B53" t="s">
        <v>4</v>
      </c>
      <c r="C53">
        <v>84.486666666666665</v>
      </c>
    </row>
    <row r="54" spans="1:3" x14ac:dyDescent="0.25">
      <c r="A54" t="s">
        <v>56</v>
      </c>
      <c r="B54" t="s">
        <v>4</v>
      </c>
      <c r="C54">
        <v>79.08</v>
      </c>
    </row>
    <row r="55" spans="1:3" x14ac:dyDescent="0.25">
      <c r="A55" t="s">
        <v>57</v>
      </c>
      <c r="B55" t="s">
        <v>4</v>
      </c>
      <c r="C55">
        <v>91.11</v>
      </c>
    </row>
    <row r="56" spans="1:3" x14ac:dyDescent="0.25">
      <c r="A56" t="s">
        <v>58</v>
      </c>
      <c r="B56" t="s">
        <v>4</v>
      </c>
      <c r="C56">
        <v>86.786666666666676</v>
      </c>
    </row>
    <row r="57" spans="1:3" x14ac:dyDescent="0.25">
      <c r="A57" t="s">
        <v>59</v>
      </c>
      <c r="B57" t="s">
        <v>4</v>
      </c>
      <c r="C57">
        <v>85.56</v>
      </c>
    </row>
    <row r="58" spans="1:3" x14ac:dyDescent="0.25">
      <c r="A58" t="s">
        <v>3</v>
      </c>
      <c r="B58" t="s">
        <v>60</v>
      </c>
      <c r="C58">
        <v>84.176666666666662</v>
      </c>
    </row>
    <row r="59" spans="1:3" x14ac:dyDescent="0.25">
      <c r="A59" t="s">
        <v>5</v>
      </c>
      <c r="B59" t="s">
        <v>60</v>
      </c>
      <c r="C59">
        <v>86.653333333333336</v>
      </c>
    </row>
    <row r="60" spans="1:3" x14ac:dyDescent="0.25">
      <c r="A60" t="s">
        <v>6</v>
      </c>
      <c r="B60" t="s">
        <v>60</v>
      </c>
      <c r="C60">
        <v>86.446666666666658</v>
      </c>
    </row>
    <row r="61" spans="1:3" x14ac:dyDescent="0.25">
      <c r="A61" t="s">
        <v>7</v>
      </c>
      <c r="B61" t="s">
        <v>60</v>
      </c>
      <c r="C61">
        <v>85.316666666666663</v>
      </c>
    </row>
    <row r="62" spans="1:3" x14ac:dyDescent="0.25">
      <c r="A62" t="s">
        <v>8</v>
      </c>
      <c r="B62" t="s">
        <v>60</v>
      </c>
      <c r="C62">
        <v>84.453333333333333</v>
      </c>
    </row>
    <row r="63" spans="1:3" x14ac:dyDescent="0.25">
      <c r="A63" t="s">
        <v>9</v>
      </c>
      <c r="B63" t="s">
        <v>60</v>
      </c>
      <c r="C63">
        <v>86.076666666666668</v>
      </c>
    </row>
    <row r="64" spans="1:3" x14ac:dyDescent="0.25">
      <c r="A64" t="s">
        <v>10</v>
      </c>
      <c r="B64" t="s">
        <v>60</v>
      </c>
      <c r="C64">
        <v>87.153333333333336</v>
      </c>
    </row>
    <row r="65" spans="1:3" x14ac:dyDescent="0.25">
      <c r="A65" t="s">
        <v>11</v>
      </c>
      <c r="B65" t="s">
        <v>60</v>
      </c>
      <c r="C65">
        <v>86.67</v>
      </c>
    </row>
    <row r="66" spans="1:3" x14ac:dyDescent="0.25">
      <c r="A66" t="s">
        <v>12</v>
      </c>
      <c r="B66" t="s">
        <v>60</v>
      </c>
      <c r="C66">
        <v>85.706666666666663</v>
      </c>
    </row>
    <row r="67" spans="1:3" x14ac:dyDescent="0.25">
      <c r="A67" t="s">
        <v>13</v>
      </c>
      <c r="B67" t="s">
        <v>60</v>
      </c>
      <c r="C67">
        <v>86.806666666666658</v>
      </c>
    </row>
    <row r="68" spans="1:3" x14ac:dyDescent="0.25">
      <c r="A68" t="s">
        <v>14</v>
      </c>
      <c r="B68" t="s">
        <v>60</v>
      </c>
      <c r="C68">
        <v>86.346666666666664</v>
      </c>
    </row>
    <row r="69" spans="1:3" x14ac:dyDescent="0.25">
      <c r="A69" t="s">
        <v>15</v>
      </c>
      <c r="B69" t="s">
        <v>60</v>
      </c>
      <c r="C69">
        <v>86.376666666666665</v>
      </c>
    </row>
    <row r="70" spans="1:3" x14ac:dyDescent="0.25">
      <c r="A70" t="s">
        <v>16</v>
      </c>
      <c r="B70" t="s">
        <v>60</v>
      </c>
      <c r="C70">
        <v>86.373333333333335</v>
      </c>
    </row>
    <row r="71" spans="1:3" x14ac:dyDescent="0.25">
      <c r="A71" t="s">
        <v>17</v>
      </c>
      <c r="B71" t="s">
        <v>60</v>
      </c>
      <c r="C71">
        <v>87.65</v>
      </c>
    </row>
    <row r="72" spans="1:3" x14ac:dyDescent="0.25">
      <c r="A72" t="s">
        <v>18</v>
      </c>
      <c r="B72" t="s">
        <v>60</v>
      </c>
      <c r="C72">
        <v>85.88666666666667</v>
      </c>
    </row>
    <row r="73" spans="1:3" x14ac:dyDescent="0.25">
      <c r="A73" t="s">
        <v>19</v>
      </c>
      <c r="B73" t="s">
        <v>60</v>
      </c>
      <c r="C73">
        <v>86.59</v>
      </c>
    </row>
    <row r="74" spans="1:3" x14ac:dyDescent="0.25">
      <c r="A74" t="s">
        <v>20</v>
      </c>
      <c r="B74" t="s">
        <v>60</v>
      </c>
      <c r="C74">
        <v>86.883333333333326</v>
      </c>
    </row>
    <row r="75" spans="1:3" x14ac:dyDescent="0.25">
      <c r="A75" t="s">
        <v>21</v>
      </c>
      <c r="B75" t="s">
        <v>60</v>
      </c>
      <c r="C75">
        <v>88.803333333333327</v>
      </c>
    </row>
    <row r="76" spans="1:3" x14ac:dyDescent="0.25">
      <c r="A76" t="s">
        <v>22</v>
      </c>
      <c r="B76" t="s">
        <v>60</v>
      </c>
      <c r="C76">
        <v>87.793333333333337</v>
      </c>
    </row>
    <row r="77" spans="1:3" x14ac:dyDescent="0.25">
      <c r="A77" t="s">
        <v>23</v>
      </c>
      <c r="B77" t="s">
        <v>60</v>
      </c>
      <c r="C77">
        <v>85.173333333333332</v>
      </c>
    </row>
    <row r="78" spans="1:3" x14ac:dyDescent="0.25">
      <c r="A78" t="s">
        <v>24</v>
      </c>
      <c r="B78" t="s">
        <v>60</v>
      </c>
      <c r="C78">
        <v>85.483333333333334</v>
      </c>
    </row>
    <row r="79" spans="1:3" x14ac:dyDescent="0.25">
      <c r="A79" t="s">
        <v>25</v>
      </c>
      <c r="B79" t="s">
        <v>60</v>
      </c>
      <c r="C79">
        <v>85.393333333333331</v>
      </c>
    </row>
    <row r="80" spans="1:3" x14ac:dyDescent="0.25">
      <c r="A80" t="s">
        <v>26</v>
      </c>
      <c r="B80" t="s">
        <v>60</v>
      </c>
      <c r="C80">
        <v>85.403333333333336</v>
      </c>
    </row>
    <row r="81" spans="1:3" x14ac:dyDescent="0.25">
      <c r="A81" t="s">
        <v>27</v>
      </c>
      <c r="B81" t="s">
        <v>60</v>
      </c>
      <c r="C81">
        <v>83.606666666666669</v>
      </c>
    </row>
    <row r="82" spans="1:3" x14ac:dyDescent="0.25">
      <c r="A82" t="s">
        <v>28</v>
      </c>
      <c r="B82" t="s">
        <v>60</v>
      </c>
      <c r="C82">
        <v>81.52</v>
      </c>
    </row>
    <row r="83" spans="1:3" x14ac:dyDescent="0.25">
      <c r="A83" t="s">
        <v>29</v>
      </c>
      <c r="B83" t="s">
        <v>60</v>
      </c>
      <c r="C83">
        <v>84.506666666666661</v>
      </c>
    </row>
    <row r="84" spans="1:3" x14ac:dyDescent="0.25">
      <c r="A84" t="s">
        <v>30</v>
      </c>
      <c r="B84" t="s">
        <v>60</v>
      </c>
      <c r="C84">
        <v>84.899999999999991</v>
      </c>
    </row>
    <row r="85" spans="1:3" x14ac:dyDescent="0.25">
      <c r="A85" t="s">
        <v>31</v>
      </c>
      <c r="B85" t="s">
        <v>60</v>
      </c>
      <c r="C85">
        <v>84.63333333333334</v>
      </c>
    </row>
    <row r="86" spans="1:3" x14ac:dyDescent="0.25">
      <c r="A86" t="s">
        <v>32</v>
      </c>
      <c r="B86" t="s">
        <v>60</v>
      </c>
      <c r="C86">
        <v>82.913333333333327</v>
      </c>
    </row>
    <row r="87" spans="1:3" x14ac:dyDescent="0.25">
      <c r="A87" t="s">
        <v>33</v>
      </c>
      <c r="B87" t="s">
        <v>60</v>
      </c>
      <c r="C87">
        <v>88.126666666666665</v>
      </c>
    </row>
    <row r="88" spans="1:3" x14ac:dyDescent="0.25">
      <c r="A88" t="s">
        <v>34</v>
      </c>
      <c r="B88" t="s">
        <v>60</v>
      </c>
      <c r="C88">
        <v>87.64</v>
      </c>
    </row>
    <row r="89" spans="1:3" x14ac:dyDescent="0.25">
      <c r="A89" t="s">
        <v>35</v>
      </c>
      <c r="B89" t="s">
        <v>60</v>
      </c>
      <c r="C89">
        <v>88.54</v>
      </c>
    </row>
    <row r="90" spans="1:3" x14ac:dyDescent="0.25">
      <c r="A90" t="s">
        <v>36</v>
      </c>
      <c r="B90" t="s">
        <v>60</v>
      </c>
      <c r="C90">
        <v>87.09</v>
      </c>
    </row>
    <row r="91" spans="1:3" x14ac:dyDescent="0.25">
      <c r="A91" t="s">
        <v>37</v>
      </c>
      <c r="B91" t="s">
        <v>60</v>
      </c>
      <c r="C91">
        <v>89.926666666666662</v>
      </c>
    </row>
    <row r="92" spans="1:3" x14ac:dyDescent="0.25">
      <c r="A92" t="s">
        <v>38</v>
      </c>
      <c r="B92" t="s">
        <v>60</v>
      </c>
      <c r="C92">
        <v>88.53</v>
      </c>
    </row>
    <row r="93" spans="1:3" x14ac:dyDescent="0.25">
      <c r="A93" t="s">
        <v>39</v>
      </c>
      <c r="B93" t="s">
        <v>60</v>
      </c>
      <c r="C93">
        <v>88.13333333333334</v>
      </c>
    </row>
    <row r="94" spans="1:3" x14ac:dyDescent="0.25">
      <c r="A94" t="s">
        <v>40</v>
      </c>
      <c r="B94" t="s">
        <v>60</v>
      </c>
      <c r="C94">
        <v>85.52</v>
      </c>
    </row>
    <row r="95" spans="1:3" x14ac:dyDescent="0.25">
      <c r="A95" t="s">
        <v>41</v>
      </c>
      <c r="B95" t="s">
        <v>60</v>
      </c>
      <c r="C95">
        <v>88.526666666666671</v>
      </c>
    </row>
    <row r="96" spans="1:3" x14ac:dyDescent="0.25">
      <c r="A96" t="s">
        <v>42</v>
      </c>
      <c r="B96" t="s">
        <v>60</v>
      </c>
      <c r="C96">
        <v>85.91</v>
      </c>
    </row>
    <row r="97" spans="1:3" x14ac:dyDescent="0.25">
      <c r="A97" t="s">
        <v>43</v>
      </c>
      <c r="B97" t="s">
        <v>60</v>
      </c>
      <c r="C97">
        <v>86.210000000000008</v>
      </c>
    </row>
    <row r="98" spans="1:3" x14ac:dyDescent="0.25">
      <c r="A98" t="s">
        <v>44</v>
      </c>
      <c r="B98" t="s">
        <v>60</v>
      </c>
      <c r="C98">
        <v>86.583333333333329</v>
      </c>
    </row>
    <row r="99" spans="1:3" x14ac:dyDescent="0.25">
      <c r="A99" t="s">
        <v>45</v>
      </c>
      <c r="B99" t="s">
        <v>60</v>
      </c>
      <c r="C99">
        <v>88.426666666666662</v>
      </c>
    </row>
    <row r="100" spans="1:3" x14ac:dyDescent="0.25">
      <c r="A100" t="s">
        <v>46</v>
      </c>
      <c r="B100" t="s">
        <v>60</v>
      </c>
      <c r="C100">
        <v>88.326666666666668</v>
      </c>
    </row>
    <row r="101" spans="1:3" x14ac:dyDescent="0.25">
      <c r="A101" t="s">
        <v>47</v>
      </c>
      <c r="B101" t="s">
        <v>60</v>
      </c>
      <c r="C101">
        <v>85.596666666666664</v>
      </c>
    </row>
    <row r="102" spans="1:3" x14ac:dyDescent="0.25">
      <c r="A102" t="s">
        <v>48</v>
      </c>
      <c r="B102" t="s">
        <v>60</v>
      </c>
      <c r="C102">
        <v>73.256666666666661</v>
      </c>
    </row>
    <row r="103" spans="1:3" x14ac:dyDescent="0.25">
      <c r="A103" t="s">
        <v>49</v>
      </c>
      <c r="B103" t="s">
        <v>60</v>
      </c>
      <c r="C103">
        <v>21.69</v>
      </c>
    </row>
    <row r="104" spans="1:3" x14ac:dyDescent="0.25">
      <c r="A104" t="s">
        <v>50</v>
      </c>
      <c r="B104" t="s">
        <v>60</v>
      </c>
      <c r="C104">
        <v>25.596666666666668</v>
      </c>
    </row>
    <row r="105" spans="1:3" x14ac:dyDescent="0.25">
      <c r="A105" t="s">
        <v>51</v>
      </c>
      <c r="B105" t="s">
        <v>60</v>
      </c>
      <c r="C105">
        <v>40.606666666666669</v>
      </c>
    </row>
    <row r="106" spans="1:3" x14ac:dyDescent="0.25">
      <c r="A106" t="s">
        <v>52</v>
      </c>
      <c r="B106" t="s">
        <v>60</v>
      </c>
      <c r="C106">
        <v>44.523333333333333</v>
      </c>
    </row>
    <row r="107" spans="1:3" x14ac:dyDescent="0.25">
      <c r="A107" t="s">
        <v>53</v>
      </c>
      <c r="B107" t="s">
        <v>60</v>
      </c>
      <c r="C107">
        <v>80.260000000000005</v>
      </c>
    </row>
    <row r="108" spans="1:3" x14ac:dyDescent="0.25">
      <c r="A108" t="s">
        <v>54</v>
      </c>
      <c r="B108" t="s">
        <v>60</v>
      </c>
      <c r="C108">
        <v>78.303333333333327</v>
      </c>
    </row>
    <row r="109" spans="1:3" x14ac:dyDescent="0.25">
      <c r="A109" t="s">
        <v>55</v>
      </c>
      <c r="B109" t="s">
        <v>60</v>
      </c>
      <c r="C109">
        <v>73.45</v>
      </c>
    </row>
    <row r="110" spans="1:3" x14ac:dyDescent="0.25">
      <c r="A110" t="s">
        <v>56</v>
      </c>
      <c r="B110" t="s">
        <v>60</v>
      </c>
      <c r="C110">
        <v>73.983333333333334</v>
      </c>
    </row>
    <row r="111" spans="1:3" x14ac:dyDescent="0.25">
      <c r="A111" t="s">
        <v>57</v>
      </c>
      <c r="B111" t="s">
        <v>60</v>
      </c>
      <c r="C111">
        <v>88.553333333333342</v>
      </c>
    </row>
    <row r="112" spans="1:3" x14ac:dyDescent="0.25">
      <c r="A112" t="s">
        <v>58</v>
      </c>
      <c r="B112" t="s">
        <v>60</v>
      </c>
      <c r="C112">
        <v>87.843333333333334</v>
      </c>
    </row>
    <row r="113" spans="1:3" x14ac:dyDescent="0.25">
      <c r="A113" t="s">
        <v>59</v>
      </c>
      <c r="B113" t="s">
        <v>60</v>
      </c>
      <c r="C113">
        <v>85.75333333333333</v>
      </c>
    </row>
    <row r="114" spans="1:3" x14ac:dyDescent="0.25">
      <c r="A114" t="s">
        <v>3</v>
      </c>
      <c r="B114" t="s">
        <v>61</v>
      </c>
      <c r="C114">
        <v>90.526666666666671</v>
      </c>
    </row>
    <row r="115" spans="1:3" x14ac:dyDescent="0.25">
      <c r="A115" t="s">
        <v>5</v>
      </c>
      <c r="B115" t="s">
        <v>61</v>
      </c>
      <c r="C115">
        <v>90.82</v>
      </c>
    </row>
    <row r="116" spans="1:3" x14ac:dyDescent="0.25">
      <c r="A116" t="s">
        <v>6</v>
      </c>
      <c r="B116" t="s">
        <v>61</v>
      </c>
      <c r="C116">
        <v>89.86666666666666</v>
      </c>
    </row>
    <row r="117" spans="1:3" x14ac:dyDescent="0.25">
      <c r="A117" t="s">
        <v>7</v>
      </c>
      <c r="B117" t="s">
        <v>61</v>
      </c>
      <c r="C117">
        <v>90.176666666666662</v>
      </c>
    </row>
    <row r="118" spans="1:3" x14ac:dyDescent="0.25">
      <c r="A118" t="s">
        <v>8</v>
      </c>
      <c r="B118" t="s">
        <v>61</v>
      </c>
      <c r="C118">
        <v>91.55</v>
      </c>
    </row>
    <row r="119" spans="1:3" x14ac:dyDescent="0.25">
      <c r="A119" t="s">
        <v>9</v>
      </c>
      <c r="B119" t="s">
        <v>61</v>
      </c>
      <c r="C119">
        <v>91.823333333333338</v>
      </c>
    </row>
    <row r="120" spans="1:3" x14ac:dyDescent="0.25">
      <c r="A120" t="s">
        <v>10</v>
      </c>
      <c r="B120" t="s">
        <v>61</v>
      </c>
      <c r="C120">
        <v>90</v>
      </c>
    </row>
    <row r="121" spans="1:3" x14ac:dyDescent="0.25">
      <c r="A121" t="s">
        <v>11</v>
      </c>
      <c r="B121" t="s">
        <v>61</v>
      </c>
      <c r="C121">
        <v>89.91</v>
      </c>
    </row>
    <row r="122" spans="1:3" x14ac:dyDescent="0.25">
      <c r="A122" t="s">
        <v>12</v>
      </c>
      <c r="B122" t="s">
        <v>61</v>
      </c>
      <c r="C122">
        <v>92.826666666666668</v>
      </c>
    </row>
    <row r="123" spans="1:3" x14ac:dyDescent="0.25">
      <c r="A123" t="s">
        <v>13</v>
      </c>
      <c r="B123" t="s">
        <v>61</v>
      </c>
      <c r="C123">
        <v>91.966666666666669</v>
      </c>
    </row>
    <row r="124" spans="1:3" x14ac:dyDescent="0.25">
      <c r="A124" t="s">
        <v>14</v>
      </c>
      <c r="B124" t="s">
        <v>61</v>
      </c>
      <c r="C124">
        <v>91.88</v>
      </c>
    </row>
    <row r="125" spans="1:3" x14ac:dyDescent="0.25">
      <c r="A125" t="s">
        <v>15</v>
      </c>
      <c r="B125" t="s">
        <v>61</v>
      </c>
      <c r="C125">
        <v>89.74666666666667</v>
      </c>
    </row>
    <row r="126" spans="1:3" x14ac:dyDescent="0.25">
      <c r="A126" t="s">
        <v>16</v>
      </c>
      <c r="B126" t="s">
        <v>61</v>
      </c>
      <c r="C126">
        <v>90.876666666666665</v>
      </c>
    </row>
    <row r="127" spans="1:3" x14ac:dyDescent="0.25">
      <c r="A127" t="s">
        <v>17</v>
      </c>
      <c r="B127" t="s">
        <v>61</v>
      </c>
      <c r="C127">
        <v>90.106666666666669</v>
      </c>
    </row>
    <row r="128" spans="1:3" x14ac:dyDescent="0.25">
      <c r="A128" t="s">
        <v>18</v>
      </c>
      <c r="B128" t="s">
        <v>61</v>
      </c>
      <c r="C128">
        <v>89.55</v>
      </c>
    </row>
    <row r="129" spans="1:3" x14ac:dyDescent="0.25">
      <c r="A129" t="s">
        <v>19</v>
      </c>
      <c r="B129" t="s">
        <v>61</v>
      </c>
      <c r="C129">
        <v>86.623333333333335</v>
      </c>
    </row>
    <row r="130" spans="1:3" x14ac:dyDescent="0.25">
      <c r="A130" t="s">
        <v>20</v>
      </c>
      <c r="B130" t="s">
        <v>61</v>
      </c>
      <c r="C130">
        <v>89.513333333333335</v>
      </c>
    </row>
    <row r="131" spans="1:3" x14ac:dyDescent="0.25">
      <c r="A131" t="s">
        <v>21</v>
      </c>
      <c r="B131" t="s">
        <v>61</v>
      </c>
      <c r="C131">
        <v>89.46</v>
      </c>
    </row>
    <row r="132" spans="1:3" x14ac:dyDescent="0.25">
      <c r="A132" t="s">
        <v>22</v>
      </c>
      <c r="B132" t="s">
        <v>61</v>
      </c>
      <c r="C132">
        <v>90.2</v>
      </c>
    </row>
    <row r="133" spans="1:3" x14ac:dyDescent="0.25">
      <c r="A133" t="s">
        <v>23</v>
      </c>
      <c r="B133" t="s">
        <v>61</v>
      </c>
      <c r="C133">
        <v>85.473333333333329</v>
      </c>
    </row>
    <row r="134" spans="1:3" x14ac:dyDescent="0.25">
      <c r="A134" t="s">
        <v>24</v>
      </c>
      <c r="B134" t="s">
        <v>61</v>
      </c>
      <c r="C134">
        <v>88.61</v>
      </c>
    </row>
    <row r="135" spans="1:3" x14ac:dyDescent="0.25">
      <c r="A135" t="s">
        <v>25</v>
      </c>
      <c r="B135" t="s">
        <v>61</v>
      </c>
      <c r="C135">
        <v>89.903333333333336</v>
      </c>
    </row>
    <row r="136" spans="1:3" x14ac:dyDescent="0.25">
      <c r="A136" t="s">
        <v>26</v>
      </c>
      <c r="B136" t="s">
        <v>61</v>
      </c>
      <c r="C136">
        <v>90.566666666666663</v>
      </c>
    </row>
    <row r="137" spans="1:3" x14ac:dyDescent="0.25">
      <c r="A137" t="s">
        <v>27</v>
      </c>
      <c r="B137" t="s">
        <v>61</v>
      </c>
      <c r="C137">
        <v>87.13</v>
      </c>
    </row>
    <row r="138" spans="1:3" x14ac:dyDescent="0.25">
      <c r="A138" t="s">
        <v>28</v>
      </c>
      <c r="B138" t="s">
        <v>61</v>
      </c>
      <c r="C138">
        <v>88.27</v>
      </c>
    </row>
    <row r="139" spans="1:3" x14ac:dyDescent="0.25">
      <c r="A139" t="s">
        <v>29</v>
      </c>
      <c r="B139" t="s">
        <v>61</v>
      </c>
      <c r="C139">
        <v>87.26</v>
      </c>
    </row>
    <row r="140" spans="1:3" x14ac:dyDescent="0.25">
      <c r="A140" t="s">
        <v>30</v>
      </c>
      <c r="B140" t="s">
        <v>61</v>
      </c>
      <c r="C140">
        <v>87.256666666666661</v>
      </c>
    </row>
    <row r="141" spans="1:3" x14ac:dyDescent="0.25">
      <c r="A141" t="s">
        <v>31</v>
      </c>
      <c r="B141" t="s">
        <v>61</v>
      </c>
      <c r="C141">
        <v>83.516666666666666</v>
      </c>
    </row>
    <row r="142" spans="1:3" x14ac:dyDescent="0.25">
      <c r="A142" t="s">
        <v>32</v>
      </c>
      <c r="B142" t="s">
        <v>61</v>
      </c>
      <c r="C142">
        <v>85.946666666666673</v>
      </c>
    </row>
    <row r="143" spans="1:3" x14ac:dyDescent="0.25">
      <c r="A143" t="s">
        <v>33</v>
      </c>
      <c r="B143" t="s">
        <v>61</v>
      </c>
      <c r="C143">
        <v>86.183333333333337</v>
      </c>
    </row>
    <row r="144" spans="1:3" x14ac:dyDescent="0.25">
      <c r="A144" t="s">
        <v>34</v>
      </c>
      <c r="B144" t="s">
        <v>61</v>
      </c>
      <c r="C144">
        <v>86.943333333333328</v>
      </c>
    </row>
    <row r="145" spans="1:3" x14ac:dyDescent="0.25">
      <c r="A145" t="s">
        <v>35</v>
      </c>
      <c r="B145" t="s">
        <v>61</v>
      </c>
      <c r="C145">
        <v>81.913333333333327</v>
      </c>
    </row>
    <row r="146" spans="1:3" x14ac:dyDescent="0.25">
      <c r="A146" t="s">
        <v>36</v>
      </c>
      <c r="B146" t="s">
        <v>61</v>
      </c>
      <c r="C146">
        <v>82.356666666666669</v>
      </c>
    </row>
    <row r="147" spans="1:3" x14ac:dyDescent="0.25">
      <c r="A147" t="s">
        <v>37</v>
      </c>
      <c r="B147" t="s">
        <v>61</v>
      </c>
      <c r="C147">
        <v>84.72</v>
      </c>
    </row>
    <row r="148" spans="1:3" x14ac:dyDescent="0.25">
      <c r="A148" t="s">
        <v>38</v>
      </c>
      <c r="B148" t="s">
        <v>61</v>
      </c>
      <c r="C148">
        <v>84.763333333333335</v>
      </c>
    </row>
    <row r="149" spans="1:3" x14ac:dyDescent="0.25">
      <c r="A149" t="s">
        <v>39</v>
      </c>
      <c r="B149" t="s">
        <v>61</v>
      </c>
      <c r="C149">
        <v>83.376666666666665</v>
      </c>
    </row>
    <row r="150" spans="1:3" x14ac:dyDescent="0.25">
      <c r="A150" t="s">
        <v>40</v>
      </c>
      <c r="B150" t="s">
        <v>61</v>
      </c>
      <c r="C150">
        <v>85.38</v>
      </c>
    </row>
    <row r="151" spans="1:3" x14ac:dyDescent="0.25">
      <c r="A151" t="s">
        <v>41</v>
      </c>
      <c r="B151" t="s">
        <v>61</v>
      </c>
      <c r="C151">
        <v>85.646666666666661</v>
      </c>
    </row>
    <row r="152" spans="1:3" x14ac:dyDescent="0.25">
      <c r="A152" t="s">
        <v>42</v>
      </c>
      <c r="B152" t="s">
        <v>61</v>
      </c>
      <c r="C152">
        <v>85.976666666666674</v>
      </c>
    </row>
    <row r="153" spans="1:3" x14ac:dyDescent="0.25">
      <c r="A153" t="s">
        <v>43</v>
      </c>
      <c r="B153" t="s">
        <v>61</v>
      </c>
      <c r="C153">
        <v>83.05</v>
      </c>
    </row>
    <row r="154" spans="1:3" x14ac:dyDescent="0.25">
      <c r="A154" t="s">
        <v>44</v>
      </c>
      <c r="B154" t="s">
        <v>61</v>
      </c>
      <c r="C154">
        <v>84.133333333333326</v>
      </c>
    </row>
    <row r="155" spans="1:3" x14ac:dyDescent="0.25">
      <c r="A155" t="s">
        <v>45</v>
      </c>
      <c r="B155" t="s">
        <v>61</v>
      </c>
      <c r="C155">
        <v>84.103333333333325</v>
      </c>
    </row>
    <row r="156" spans="1:3" x14ac:dyDescent="0.25">
      <c r="A156" t="s">
        <v>46</v>
      </c>
      <c r="B156" t="s">
        <v>61</v>
      </c>
      <c r="C156">
        <v>86.016666666666666</v>
      </c>
    </row>
    <row r="157" spans="1:3" x14ac:dyDescent="0.25">
      <c r="A157" t="s">
        <v>47</v>
      </c>
      <c r="B157" t="s">
        <v>61</v>
      </c>
      <c r="C157">
        <v>82.18</v>
      </c>
    </row>
    <row r="158" spans="1:3" x14ac:dyDescent="0.25">
      <c r="A158" t="s">
        <v>48</v>
      </c>
      <c r="B158" t="s">
        <v>61</v>
      </c>
      <c r="C158">
        <v>74.826666666666668</v>
      </c>
    </row>
    <row r="159" spans="1:3" x14ac:dyDescent="0.25">
      <c r="A159" t="s">
        <v>49</v>
      </c>
      <c r="B159" t="s">
        <v>61</v>
      </c>
      <c r="C159">
        <v>41.7</v>
      </c>
    </row>
    <row r="160" spans="1:3" x14ac:dyDescent="0.25">
      <c r="A160" t="s">
        <v>50</v>
      </c>
      <c r="B160" t="s">
        <v>61</v>
      </c>
      <c r="C160">
        <v>51.263333333333328</v>
      </c>
    </row>
    <row r="161" spans="1:3" x14ac:dyDescent="0.25">
      <c r="A161" t="s">
        <v>51</v>
      </c>
      <c r="B161" t="s">
        <v>61</v>
      </c>
      <c r="C161">
        <v>58.823333333333338</v>
      </c>
    </row>
    <row r="162" spans="1:3" x14ac:dyDescent="0.25">
      <c r="A162" t="s">
        <v>52</v>
      </c>
      <c r="B162" t="s">
        <v>61</v>
      </c>
      <c r="C162">
        <v>55.833333333333336</v>
      </c>
    </row>
    <row r="163" spans="1:3" x14ac:dyDescent="0.25">
      <c r="A163" t="s">
        <v>53</v>
      </c>
      <c r="B163" t="s">
        <v>61</v>
      </c>
      <c r="C163">
        <v>70.72</v>
      </c>
    </row>
    <row r="164" spans="1:3" x14ac:dyDescent="0.25">
      <c r="A164" t="s">
        <v>54</v>
      </c>
      <c r="B164" t="s">
        <v>61</v>
      </c>
      <c r="C164">
        <v>75.89</v>
      </c>
    </row>
    <row r="165" spans="1:3" x14ac:dyDescent="0.25">
      <c r="A165" t="s">
        <v>55</v>
      </c>
      <c r="B165" t="s">
        <v>61</v>
      </c>
      <c r="C165">
        <v>77.56</v>
      </c>
    </row>
    <row r="166" spans="1:3" x14ac:dyDescent="0.25">
      <c r="A166" t="s">
        <v>56</v>
      </c>
      <c r="B166" t="s">
        <v>61</v>
      </c>
      <c r="C166">
        <v>78.276666666666671</v>
      </c>
    </row>
    <row r="167" spans="1:3" x14ac:dyDescent="0.25">
      <c r="A167" t="s">
        <v>57</v>
      </c>
      <c r="B167" t="s">
        <v>61</v>
      </c>
      <c r="C167">
        <v>87.76</v>
      </c>
    </row>
    <row r="168" spans="1:3" x14ac:dyDescent="0.25">
      <c r="A168" t="s">
        <v>58</v>
      </c>
      <c r="B168" t="s">
        <v>61</v>
      </c>
      <c r="C168">
        <v>88.74</v>
      </c>
    </row>
    <row r="169" spans="1:3" x14ac:dyDescent="0.25">
      <c r="A169" t="s">
        <v>59</v>
      </c>
      <c r="B169" t="s">
        <v>61</v>
      </c>
      <c r="C169">
        <v>85.976666666666674</v>
      </c>
    </row>
    <row r="170" spans="1:3" x14ac:dyDescent="0.25">
      <c r="A170" t="s">
        <v>3</v>
      </c>
      <c r="B170" t="s">
        <v>62</v>
      </c>
      <c r="C170">
        <v>80</v>
      </c>
    </row>
    <row r="171" spans="1:3" x14ac:dyDescent="0.25">
      <c r="A171" t="s">
        <v>5</v>
      </c>
      <c r="B171" t="s">
        <v>62</v>
      </c>
      <c r="C171">
        <v>86.98</v>
      </c>
    </row>
    <row r="172" spans="1:3" x14ac:dyDescent="0.25">
      <c r="A172" t="s">
        <v>6</v>
      </c>
      <c r="B172" t="s">
        <v>62</v>
      </c>
      <c r="C172">
        <v>88.03</v>
      </c>
    </row>
    <row r="173" spans="1:3" x14ac:dyDescent="0.25">
      <c r="A173" t="s">
        <v>7</v>
      </c>
      <c r="B173" t="s">
        <v>62</v>
      </c>
      <c r="C173">
        <v>82.49</v>
      </c>
    </row>
    <row r="174" spans="1:3" x14ac:dyDescent="0.25">
      <c r="A174" t="s">
        <v>8</v>
      </c>
      <c r="B174" t="s">
        <v>62</v>
      </c>
      <c r="C174">
        <v>81.42</v>
      </c>
    </row>
    <row r="175" spans="1:3" x14ac:dyDescent="0.25">
      <c r="A175" t="s">
        <v>9</v>
      </c>
      <c r="B175" t="s">
        <v>62</v>
      </c>
      <c r="C175">
        <v>86.843333333333334</v>
      </c>
    </row>
    <row r="176" spans="1:3" x14ac:dyDescent="0.25">
      <c r="A176" t="s">
        <v>10</v>
      </c>
      <c r="B176" t="s">
        <v>62</v>
      </c>
      <c r="C176">
        <v>86.316666666666663</v>
      </c>
    </row>
    <row r="177" spans="1:3" x14ac:dyDescent="0.25">
      <c r="A177" t="s">
        <v>11</v>
      </c>
      <c r="B177" t="s">
        <v>62</v>
      </c>
      <c r="C177">
        <v>82.446666666666658</v>
      </c>
    </row>
    <row r="178" spans="1:3" x14ac:dyDescent="0.25">
      <c r="A178" t="s">
        <v>12</v>
      </c>
      <c r="B178" t="s">
        <v>62</v>
      </c>
      <c r="C178">
        <v>80.373333333333335</v>
      </c>
    </row>
    <row r="179" spans="1:3" x14ac:dyDescent="0.25">
      <c r="A179" t="s">
        <v>13</v>
      </c>
      <c r="B179" t="s">
        <v>62</v>
      </c>
      <c r="C179">
        <v>86.490000000000009</v>
      </c>
    </row>
    <row r="180" spans="1:3" x14ac:dyDescent="0.25">
      <c r="A180" t="s">
        <v>14</v>
      </c>
      <c r="B180" t="s">
        <v>62</v>
      </c>
      <c r="C180">
        <v>87.463333333333338</v>
      </c>
    </row>
    <row r="181" spans="1:3" x14ac:dyDescent="0.25">
      <c r="A181" t="s">
        <v>15</v>
      </c>
      <c r="B181" t="s">
        <v>62</v>
      </c>
      <c r="C181">
        <v>84.373333333333335</v>
      </c>
    </row>
    <row r="182" spans="1:3" x14ac:dyDescent="0.25">
      <c r="A182" t="s">
        <v>16</v>
      </c>
      <c r="B182" t="s">
        <v>62</v>
      </c>
      <c r="C182">
        <v>83.006666666666661</v>
      </c>
    </row>
    <row r="183" spans="1:3" x14ac:dyDescent="0.25">
      <c r="A183" t="s">
        <v>17</v>
      </c>
      <c r="B183" t="s">
        <v>62</v>
      </c>
      <c r="C183">
        <v>87.733333333333334</v>
      </c>
    </row>
    <row r="184" spans="1:3" x14ac:dyDescent="0.25">
      <c r="A184" t="s">
        <v>18</v>
      </c>
      <c r="B184" t="s">
        <v>62</v>
      </c>
      <c r="C184">
        <v>86.786666666666662</v>
      </c>
    </row>
    <row r="185" spans="1:3" x14ac:dyDescent="0.25">
      <c r="A185" t="s">
        <v>19</v>
      </c>
      <c r="B185" t="s">
        <v>62</v>
      </c>
      <c r="C185">
        <v>84.54</v>
      </c>
    </row>
    <row r="186" spans="1:3" x14ac:dyDescent="0.25">
      <c r="A186" t="s">
        <v>20</v>
      </c>
      <c r="B186" t="s">
        <v>62</v>
      </c>
      <c r="C186">
        <v>83.36</v>
      </c>
    </row>
    <row r="187" spans="1:3" x14ac:dyDescent="0.25">
      <c r="A187" t="s">
        <v>21</v>
      </c>
      <c r="B187" t="s">
        <v>62</v>
      </c>
      <c r="C187">
        <v>86.226666666666659</v>
      </c>
    </row>
    <row r="188" spans="1:3" x14ac:dyDescent="0.25">
      <c r="A188" t="s">
        <v>22</v>
      </c>
      <c r="B188" t="s">
        <v>62</v>
      </c>
      <c r="C188">
        <v>85.72</v>
      </c>
    </row>
    <row r="189" spans="1:3" x14ac:dyDescent="0.25">
      <c r="A189" t="s">
        <v>23</v>
      </c>
      <c r="B189" t="s">
        <v>62</v>
      </c>
      <c r="C189">
        <v>83.393333333333331</v>
      </c>
    </row>
    <row r="190" spans="1:3" x14ac:dyDescent="0.25">
      <c r="A190" t="s">
        <v>24</v>
      </c>
      <c r="B190" t="s">
        <v>62</v>
      </c>
      <c r="C190">
        <v>84.973333333333329</v>
      </c>
    </row>
    <row r="191" spans="1:3" x14ac:dyDescent="0.25">
      <c r="A191" t="s">
        <v>25</v>
      </c>
      <c r="B191" t="s">
        <v>62</v>
      </c>
      <c r="C191">
        <v>88.493333333333339</v>
      </c>
    </row>
    <row r="192" spans="1:3" x14ac:dyDescent="0.25">
      <c r="A192" t="s">
        <v>26</v>
      </c>
      <c r="B192" t="s">
        <v>62</v>
      </c>
      <c r="C192">
        <v>87.76</v>
      </c>
    </row>
    <row r="193" spans="1:3" x14ac:dyDescent="0.25">
      <c r="A193" t="s">
        <v>27</v>
      </c>
      <c r="B193" t="s">
        <v>62</v>
      </c>
      <c r="C193">
        <v>85.25333333333333</v>
      </c>
    </row>
    <row r="194" spans="1:3" x14ac:dyDescent="0.25">
      <c r="A194" t="s">
        <v>28</v>
      </c>
      <c r="B194" t="s">
        <v>62</v>
      </c>
      <c r="C194">
        <v>84.86333333333333</v>
      </c>
    </row>
    <row r="195" spans="1:3" x14ac:dyDescent="0.25">
      <c r="A195" t="s">
        <v>29</v>
      </c>
      <c r="B195" t="s">
        <v>62</v>
      </c>
      <c r="C195">
        <v>88.313333333333333</v>
      </c>
    </row>
    <row r="196" spans="1:3" x14ac:dyDescent="0.25">
      <c r="A196" t="s">
        <v>30</v>
      </c>
      <c r="B196" t="s">
        <v>62</v>
      </c>
      <c r="C196">
        <v>87.873333333333335</v>
      </c>
    </row>
    <row r="197" spans="1:3" x14ac:dyDescent="0.25">
      <c r="A197" t="s">
        <v>31</v>
      </c>
      <c r="B197" t="s">
        <v>62</v>
      </c>
      <c r="C197">
        <v>87.33</v>
      </c>
    </row>
    <row r="198" spans="1:3" x14ac:dyDescent="0.25">
      <c r="A198" t="s">
        <v>32</v>
      </c>
      <c r="B198" t="s">
        <v>62</v>
      </c>
      <c r="C198">
        <v>84.14</v>
      </c>
    </row>
    <row r="199" spans="1:3" x14ac:dyDescent="0.25">
      <c r="A199" t="s">
        <v>33</v>
      </c>
      <c r="B199" t="s">
        <v>62</v>
      </c>
      <c r="C199">
        <v>87.58</v>
      </c>
    </row>
    <row r="200" spans="1:3" x14ac:dyDescent="0.25">
      <c r="A200" t="s">
        <v>34</v>
      </c>
      <c r="B200" t="s">
        <v>62</v>
      </c>
      <c r="C200">
        <v>85.94</v>
      </c>
    </row>
    <row r="201" spans="1:3" x14ac:dyDescent="0.25">
      <c r="A201" t="s">
        <v>35</v>
      </c>
      <c r="B201" t="s">
        <v>62</v>
      </c>
      <c r="C201">
        <v>87.72</v>
      </c>
    </row>
    <row r="202" spans="1:3" x14ac:dyDescent="0.25">
      <c r="A202" t="s">
        <v>36</v>
      </c>
      <c r="B202" t="s">
        <v>62</v>
      </c>
      <c r="C202">
        <v>84.786666666666676</v>
      </c>
    </row>
    <row r="203" spans="1:3" x14ac:dyDescent="0.25">
      <c r="A203" t="s">
        <v>37</v>
      </c>
      <c r="B203" t="s">
        <v>62</v>
      </c>
      <c r="C203">
        <v>88.176666666666662</v>
      </c>
    </row>
    <row r="204" spans="1:3" x14ac:dyDescent="0.25">
      <c r="A204" t="s">
        <v>38</v>
      </c>
      <c r="B204" t="s">
        <v>62</v>
      </c>
      <c r="C204">
        <v>87.13000000000001</v>
      </c>
    </row>
    <row r="205" spans="1:3" x14ac:dyDescent="0.25">
      <c r="A205" t="s">
        <v>39</v>
      </c>
      <c r="B205" t="s">
        <v>62</v>
      </c>
      <c r="C205">
        <v>87.053333333333342</v>
      </c>
    </row>
    <row r="206" spans="1:3" x14ac:dyDescent="0.25">
      <c r="A206" t="s">
        <v>40</v>
      </c>
      <c r="B206" t="s">
        <v>62</v>
      </c>
      <c r="C206">
        <v>84.023333333333341</v>
      </c>
    </row>
    <row r="207" spans="1:3" x14ac:dyDescent="0.25">
      <c r="A207" t="s">
        <v>41</v>
      </c>
      <c r="B207" t="s">
        <v>62</v>
      </c>
      <c r="C207">
        <v>87.51</v>
      </c>
    </row>
    <row r="208" spans="1:3" x14ac:dyDescent="0.25">
      <c r="A208" t="s">
        <v>42</v>
      </c>
      <c r="B208" t="s">
        <v>62</v>
      </c>
      <c r="C208">
        <v>87.086666666666673</v>
      </c>
    </row>
    <row r="209" spans="1:3" x14ac:dyDescent="0.25">
      <c r="A209" t="s">
        <v>43</v>
      </c>
      <c r="B209" t="s">
        <v>62</v>
      </c>
      <c r="C209">
        <v>86.850000000000009</v>
      </c>
    </row>
    <row r="210" spans="1:3" x14ac:dyDescent="0.25">
      <c r="A210" t="s">
        <v>44</v>
      </c>
      <c r="B210" t="s">
        <v>62</v>
      </c>
      <c r="C210">
        <v>84.25</v>
      </c>
    </row>
    <row r="211" spans="1:3" x14ac:dyDescent="0.25">
      <c r="A211" t="s">
        <v>45</v>
      </c>
      <c r="B211" t="s">
        <v>62</v>
      </c>
      <c r="C211">
        <v>89.89</v>
      </c>
    </row>
    <row r="212" spans="1:3" x14ac:dyDescent="0.25">
      <c r="A212" t="s">
        <v>46</v>
      </c>
      <c r="B212" t="s">
        <v>62</v>
      </c>
      <c r="C212">
        <v>89.123333333333335</v>
      </c>
    </row>
    <row r="213" spans="1:3" x14ac:dyDescent="0.25">
      <c r="A213" t="s">
        <v>47</v>
      </c>
      <c r="B213" t="s">
        <v>62</v>
      </c>
      <c r="C213">
        <v>86.793333333333337</v>
      </c>
    </row>
    <row r="214" spans="1:3" x14ac:dyDescent="0.25">
      <c r="A214" t="s">
        <v>48</v>
      </c>
      <c r="B214" t="s">
        <v>62</v>
      </c>
      <c r="C214">
        <v>72.78</v>
      </c>
    </row>
    <row r="215" spans="1:3" x14ac:dyDescent="0.25">
      <c r="A215" t="s">
        <v>49</v>
      </c>
      <c r="B215" t="s">
        <v>62</v>
      </c>
      <c r="C215">
        <v>34.21</v>
      </c>
    </row>
    <row r="216" spans="1:3" x14ac:dyDescent="0.25">
      <c r="A216" t="s">
        <v>50</v>
      </c>
      <c r="B216" t="s">
        <v>62</v>
      </c>
      <c r="C216">
        <v>43.243333333333332</v>
      </c>
    </row>
    <row r="217" spans="1:3" x14ac:dyDescent="0.25">
      <c r="A217" t="s">
        <v>51</v>
      </c>
      <c r="B217" t="s">
        <v>62</v>
      </c>
      <c r="C217">
        <v>43.886666666666663</v>
      </c>
    </row>
    <row r="218" spans="1:3" x14ac:dyDescent="0.25">
      <c r="A218" t="s">
        <v>52</v>
      </c>
      <c r="B218" t="s">
        <v>62</v>
      </c>
      <c r="C218">
        <v>48.693333333333335</v>
      </c>
    </row>
    <row r="219" spans="1:3" x14ac:dyDescent="0.25">
      <c r="A219" t="s">
        <v>53</v>
      </c>
      <c r="B219" t="s">
        <v>62</v>
      </c>
      <c r="C219">
        <v>74.510000000000005</v>
      </c>
    </row>
    <row r="220" spans="1:3" x14ac:dyDescent="0.25">
      <c r="A220" t="s">
        <v>54</v>
      </c>
      <c r="B220" t="s">
        <v>62</v>
      </c>
      <c r="C220">
        <v>84.703333333333333</v>
      </c>
    </row>
    <row r="221" spans="1:3" x14ac:dyDescent="0.25">
      <c r="A221" t="s">
        <v>55</v>
      </c>
      <c r="B221" t="s">
        <v>62</v>
      </c>
      <c r="C221">
        <v>83.026666666666671</v>
      </c>
    </row>
    <row r="222" spans="1:3" x14ac:dyDescent="0.25">
      <c r="A222" t="s">
        <v>56</v>
      </c>
      <c r="B222" t="s">
        <v>62</v>
      </c>
      <c r="C222">
        <v>79.17</v>
      </c>
    </row>
    <row r="223" spans="1:3" x14ac:dyDescent="0.25">
      <c r="A223" t="s">
        <v>57</v>
      </c>
      <c r="B223" t="s">
        <v>62</v>
      </c>
      <c r="C223">
        <v>90.679999999999993</v>
      </c>
    </row>
    <row r="224" spans="1:3" x14ac:dyDescent="0.25">
      <c r="A224" t="s">
        <v>58</v>
      </c>
      <c r="B224" t="s">
        <v>62</v>
      </c>
      <c r="C224">
        <v>87.2</v>
      </c>
    </row>
    <row r="225" spans="1:3" x14ac:dyDescent="0.25">
      <c r="A225" t="s">
        <v>59</v>
      </c>
      <c r="B225" t="s">
        <v>62</v>
      </c>
      <c r="C225">
        <v>86.960000000000008</v>
      </c>
    </row>
    <row r="226" spans="1:3" x14ac:dyDescent="0.25">
      <c r="A226" t="s">
        <v>3</v>
      </c>
      <c r="B226" t="s">
        <v>63</v>
      </c>
      <c r="C226">
        <v>79.27</v>
      </c>
    </row>
    <row r="227" spans="1:3" x14ac:dyDescent="0.25">
      <c r="A227" t="s">
        <v>5</v>
      </c>
      <c r="B227" t="s">
        <v>63</v>
      </c>
      <c r="C227">
        <v>86.516666666666666</v>
      </c>
    </row>
    <row r="228" spans="1:3" x14ac:dyDescent="0.25">
      <c r="A228" t="s">
        <v>6</v>
      </c>
      <c r="B228" t="s">
        <v>63</v>
      </c>
      <c r="C228">
        <v>86.563333333333333</v>
      </c>
    </row>
    <row r="229" spans="1:3" x14ac:dyDescent="0.25">
      <c r="A229" t="s">
        <v>7</v>
      </c>
      <c r="B229" t="s">
        <v>63</v>
      </c>
      <c r="C229">
        <v>82.973333333333329</v>
      </c>
    </row>
    <row r="230" spans="1:3" x14ac:dyDescent="0.25">
      <c r="A230" t="s">
        <v>8</v>
      </c>
      <c r="B230" t="s">
        <v>63</v>
      </c>
      <c r="C230">
        <v>81.596666666666664</v>
      </c>
    </row>
    <row r="231" spans="1:3" x14ac:dyDescent="0.25">
      <c r="A231" t="s">
        <v>9</v>
      </c>
      <c r="B231" t="s">
        <v>63</v>
      </c>
      <c r="C231">
        <v>86.816666666666663</v>
      </c>
    </row>
    <row r="232" spans="1:3" x14ac:dyDescent="0.25">
      <c r="A232" t="s">
        <v>10</v>
      </c>
      <c r="B232" t="s">
        <v>63</v>
      </c>
      <c r="C232">
        <v>87.346666666666664</v>
      </c>
    </row>
    <row r="233" spans="1:3" x14ac:dyDescent="0.25">
      <c r="A233" t="s">
        <v>11</v>
      </c>
      <c r="B233" t="s">
        <v>63</v>
      </c>
      <c r="C233">
        <v>84.173333333333332</v>
      </c>
    </row>
    <row r="234" spans="1:3" x14ac:dyDescent="0.25">
      <c r="A234" t="s">
        <v>12</v>
      </c>
      <c r="B234" t="s">
        <v>63</v>
      </c>
      <c r="C234">
        <v>82.539999999999992</v>
      </c>
    </row>
    <row r="235" spans="1:3" x14ac:dyDescent="0.25">
      <c r="A235" t="s">
        <v>13</v>
      </c>
      <c r="B235" t="s">
        <v>63</v>
      </c>
      <c r="C235">
        <v>87.993333333333339</v>
      </c>
    </row>
    <row r="236" spans="1:3" x14ac:dyDescent="0.25">
      <c r="A236" t="s">
        <v>14</v>
      </c>
      <c r="B236" t="s">
        <v>63</v>
      </c>
      <c r="C236">
        <v>88.923333333333332</v>
      </c>
    </row>
    <row r="237" spans="1:3" x14ac:dyDescent="0.25">
      <c r="A237" t="s">
        <v>15</v>
      </c>
      <c r="B237" t="s">
        <v>63</v>
      </c>
      <c r="C237">
        <v>86.446666666666673</v>
      </c>
    </row>
    <row r="238" spans="1:3" x14ac:dyDescent="0.25">
      <c r="A238" t="s">
        <v>16</v>
      </c>
      <c r="B238" t="s">
        <v>63</v>
      </c>
      <c r="C238">
        <v>82.08</v>
      </c>
    </row>
    <row r="239" spans="1:3" x14ac:dyDescent="0.25">
      <c r="A239" t="s">
        <v>17</v>
      </c>
      <c r="B239" t="s">
        <v>63</v>
      </c>
      <c r="C239">
        <v>86.653333333333336</v>
      </c>
    </row>
    <row r="240" spans="1:3" x14ac:dyDescent="0.25">
      <c r="A240" t="s">
        <v>18</v>
      </c>
      <c r="B240" t="s">
        <v>63</v>
      </c>
      <c r="C240">
        <v>86.393333333333331</v>
      </c>
    </row>
    <row r="241" spans="1:3" x14ac:dyDescent="0.25">
      <c r="A241" t="s">
        <v>19</v>
      </c>
      <c r="B241" t="s">
        <v>63</v>
      </c>
      <c r="C241">
        <v>84.35</v>
      </c>
    </row>
    <row r="242" spans="1:3" x14ac:dyDescent="0.25">
      <c r="A242" t="s">
        <v>20</v>
      </c>
      <c r="B242" t="s">
        <v>63</v>
      </c>
      <c r="C242">
        <v>84.186666666666667</v>
      </c>
    </row>
    <row r="243" spans="1:3" x14ac:dyDescent="0.25">
      <c r="A243" t="s">
        <v>21</v>
      </c>
      <c r="B243" t="s">
        <v>63</v>
      </c>
      <c r="C243">
        <v>86.973333333333329</v>
      </c>
    </row>
    <row r="244" spans="1:3" x14ac:dyDescent="0.25">
      <c r="A244" t="s">
        <v>22</v>
      </c>
      <c r="B244" t="s">
        <v>63</v>
      </c>
      <c r="C244">
        <v>86.929999999999993</v>
      </c>
    </row>
    <row r="245" spans="1:3" x14ac:dyDescent="0.25">
      <c r="A245" t="s">
        <v>23</v>
      </c>
      <c r="B245" t="s">
        <v>63</v>
      </c>
      <c r="C245">
        <v>84.88666666666667</v>
      </c>
    </row>
    <row r="246" spans="1:3" x14ac:dyDescent="0.25">
      <c r="A246" t="s">
        <v>24</v>
      </c>
      <c r="B246" t="s">
        <v>63</v>
      </c>
      <c r="C246">
        <v>85.093333333333334</v>
      </c>
    </row>
    <row r="247" spans="1:3" x14ac:dyDescent="0.25">
      <c r="A247" t="s">
        <v>25</v>
      </c>
      <c r="B247" t="s">
        <v>63</v>
      </c>
      <c r="C247">
        <v>87.82</v>
      </c>
    </row>
    <row r="248" spans="1:3" x14ac:dyDescent="0.25">
      <c r="A248" t="s">
        <v>26</v>
      </c>
      <c r="B248" t="s">
        <v>63</v>
      </c>
      <c r="C248">
        <v>87.09</v>
      </c>
    </row>
    <row r="249" spans="1:3" x14ac:dyDescent="0.25">
      <c r="A249" t="s">
        <v>27</v>
      </c>
      <c r="B249" t="s">
        <v>63</v>
      </c>
      <c r="C249">
        <v>84</v>
      </c>
    </row>
    <row r="250" spans="1:3" x14ac:dyDescent="0.25">
      <c r="A250" t="s">
        <v>28</v>
      </c>
      <c r="B250" t="s">
        <v>63</v>
      </c>
      <c r="C250">
        <v>84.326666666666668</v>
      </c>
    </row>
    <row r="251" spans="1:3" x14ac:dyDescent="0.25">
      <c r="A251" t="s">
        <v>29</v>
      </c>
      <c r="B251" t="s">
        <v>63</v>
      </c>
      <c r="C251">
        <v>86.743333333333339</v>
      </c>
    </row>
    <row r="252" spans="1:3" x14ac:dyDescent="0.25">
      <c r="A252" t="s">
        <v>30</v>
      </c>
      <c r="B252" t="s">
        <v>63</v>
      </c>
      <c r="C252">
        <v>87.64</v>
      </c>
    </row>
    <row r="253" spans="1:3" x14ac:dyDescent="0.25">
      <c r="A253" t="s">
        <v>31</v>
      </c>
      <c r="B253" t="s">
        <v>63</v>
      </c>
      <c r="C253">
        <v>86.05</v>
      </c>
    </row>
    <row r="254" spans="1:3" x14ac:dyDescent="0.25">
      <c r="A254" t="s">
        <v>32</v>
      </c>
      <c r="B254" t="s">
        <v>63</v>
      </c>
      <c r="C254">
        <v>83.42</v>
      </c>
    </row>
    <row r="255" spans="1:3" x14ac:dyDescent="0.25">
      <c r="A255" t="s">
        <v>33</v>
      </c>
      <c r="B255" t="s">
        <v>63</v>
      </c>
      <c r="C255">
        <v>86.806666666666672</v>
      </c>
    </row>
    <row r="256" spans="1:3" x14ac:dyDescent="0.25">
      <c r="A256" t="s">
        <v>34</v>
      </c>
      <c r="B256" t="s">
        <v>63</v>
      </c>
      <c r="C256">
        <v>86.83</v>
      </c>
    </row>
    <row r="257" spans="1:3" x14ac:dyDescent="0.25">
      <c r="A257" t="s">
        <v>35</v>
      </c>
      <c r="B257" t="s">
        <v>63</v>
      </c>
      <c r="C257">
        <v>85.38333333333334</v>
      </c>
    </row>
    <row r="258" spans="1:3" x14ac:dyDescent="0.25">
      <c r="A258" t="s">
        <v>36</v>
      </c>
      <c r="B258" t="s">
        <v>63</v>
      </c>
      <c r="C258">
        <v>83.713333333333338</v>
      </c>
    </row>
    <row r="259" spans="1:3" x14ac:dyDescent="0.25">
      <c r="A259" t="s">
        <v>37</v>
      </c>
      <c r="B259" t="s">
        <v>63</v>
      </c>
      <c r="C259">
        <v>87.710000000000008</v>
      </c>
    </row>
    <row r="260" spans="1:3" x14ac:dyDescent="0.25">
      <c r="A260" t="s">
        <v>38</v>
      </c>
      <c r="B260" t="s">
        <v>63</v>
      </c>
      <c r="C260">
        <v>85.91</v>
      </c>
    </row>
    <row r="261" spans="1:3" x14ac:dyDescent="0.25">
      <c r="A261" t="s">
        <v>39</v>
      </c>
      <c r="B261" t="s">
        <v>63</v>
      </c>
      <c r="C261">
        <v>85.516666666666666</v>
      </c>
    </row>
    <row r="262" spans="1:3" x14ac:dyDescent="0.25">
      <c r="A262" t="s">
        <v>40</v>
      </c>
      <c r="B262" t="s">
        <v>63</v>
      </c>
      <c r="C262">
        <v>83.186666666666667</v>
      </c>
    </row>
    <row r="263" spans="1:3" x14ac:dyDescent="0.25">
      <c r="A263" t="s">
        <v>41</v>
      </c>
      <c r="B263" t="s">
        <v>63</v>
      </c>
      <c r="C263">
        <v>87.6</v>
      </c>
    </row>
    <row r="264" spans="1:3" x14ac:dyDescent="0.25">
      <c r="A264" t="s">
        <v>42</v>
      </c>
      <c r="B264" t="s">
        <v>63</v>
      </c>
      <c r="C264">
        <v>87.076666666666668</v>
      </c>
    </row>
    <row r="265" spans="1:3" x14ac:dyDescent="0.25">
      <c r="A265" t="s">
        <v>43</v>
      </c>
      <c r="B265" t="s">
        <v>63</v>
      </c>
      <c r="C265">
        <v>84.926666666666662</v>
      </c>
    </row>
    <row r="266" spans="1:3" x14ac:dyDescent="0.25">
      <c r="A266" t="s">
        <v>44</v>
      </c>
      <c r="B266" t="s">
        <v>63</v>
      </c>
      <c r="C266">
        <v>83.04</v>
      </c>
    </row>
    <row r="267" spans="1:3" x14ac:dyDescent="0.25">
      <c r="A267" t="s">
        <v>45</v>
      </c>
      <c r="B267" t="s">
        <v>63</v>
      </c>
      <c r="C267">
        <v>88.206666666666663</v>
      </c>
    </row>
    <row r="268" spans="1:3" x14ac:dyDescent="0.25">
      <c r="A268" t="s">
        <v>46</v>
      </c>
      <c r="B268" t="s">
        <v>63</v>
      </c>
      <c r="C268">
        <v>86.87</v>
      </c>
    </row>
    <row r="269" spans="1:3" x14ac:dyDescent="0.25">
      <c r="A269" t="s">
        <v>47</v>
      </c>
      <c r="B269" t="s">
        <v>63</v>
      </c>
      <c r="C269">
        <v>84.126666666666665</v>
      </c>
    </row>
    <row r="270" spans="1:3" x14ac:dyDescent="0.25">
      <c r="A270" t="s">
        <v>48</v>
      </c>
      <c r="B270" t="s">
        <v>63</v>
      </c>
      <c r="C270">
        <v>70.653333333333336</v>
      </c>
    </row>
    <row r="271" spans="1:3" x14ac:dyDescent="0.25">
      <c r="A271" t="s">
        <v>49</v>
      </c>
      <c r="B271" t="s">
        <v>63</v>
      </c>
      <c r="C271">
        <v>34.976666666666674</v>
      </c>
    </row>
    <row r="272" spans="1:3" x14ac:dyDescent="0.25">
      <c r="A272" t="s">
        <v>50</v>
      </c>
      <c r="B272" t="s">
        <v>63</v>
      </c>
      <c r="C272">
        <v>52.59</v>
      </c>
    </row>
    <row r="273" spans="1:3" x14ac:dyDescent="0.25">
      <c r="A273" t="s">
        <v>51</v>
      </c>
      <c r="B273" t="s">
        <v>63</v>
      </c>
      <c r="C273">
        <v>63.06666666666667</v>
      </c>
    </row>
    <row r="274" spans="1:3" x14ac:dyDescent="0.25">
      <c r="A274" t="s">
        <v>52</v>
      </c>
      <c r="B274" t="s">
        <v>63</v>
      </c>
      <c r="C274">
        <v>63.443333333333335</v>
      </c>
    </row>
    <row r="275" spans="1:3" x14ac:dyDescent="0.25">
      <c r="A275" t="s">
        <v>53</v>
      </c>
      <c r="B275" t="s">
        <v>63</v>
      </c>
      <c r="C275">
        <v>82.606666666666669</v>
      </c>
    </row>
    <row r="276" spans="1:3" x14ac:dyDescent="0.25">
      <c r="A276" t="s">
        <v>54</v>
      </c>
      <c r="B276" t="s">
        <v>63</v>
      </c>
      <c r="C276">
        <v>82.473333333333329</v>
      </c>
    </row>
    <row r="277" spans="1:3" x14ac:dyDescent="0.25">
      <c r="A277" t="s">
        <v>55</v>
      </c>
      <c r="B277" t="s">
        <v>63</v>
      </c>
      <c r="C277">
        <v>82.763333333333335</v>
      </c>
    </row>
    <row r="278" spans="1:3" x14ac:dyDescent="0.25">
      <c r="A278" t="s">
        <v>56</v>
      </c>
      <c r="B278" t="s">
        <v>63</v>
      </c>
      <c r="C278">
        <v>76.930000000000007</v>
      </c>
    </row>
    <row r="279" spans="1:3" x14ac:dyDescent="0.25">
      <c r="A279" t="s">
        <v>57</v>
      </c>
      <c r="B279" t="s">
        <v>63</v>
      </c>
      <c r="C279">
        <v>90.516666666666666</v>
      </c>
    </row>
    <row r="280" spans="1:3" x14ac:dyDescent="0.25">
      <c r="A280" t="s">
        <v>58</v>
      </c>
      <c r="B280" t="s">
        <v>63</v>
      </c>
      <c r="C280">
        <v>87.226666666666674</v>
      </c>
    </row>
    <row r="281" spans="1:3" x14ac:dyDescent="0.25">
      <c r="A281" t="s">
        <v>59</v>
      </c>
      <c r="B281" t="s">
        <v>63</v>
      </c>
      <c r="C281">
        <v>86.893333333333331</v>
      </c>
    </row>
    <row r="282" spans="1:3" x14ac:dyDescent="0.25">
      <c r="A282" t="s">
        <v>3</v>
      </c>
      <c r="B282" t="s">
        <v>64</v>
      </c>
      <c r="C282">
        <v>69.726666666666674</v>
      </c>
    </row>
    <row r="283" spans="1:3" x14ac:dyDescent="0.25">
      <c r="A283" t="s">
        <v>5</v>
      </c>
      <c r="B283" t="s">
        <v>64</v>
      </c>
      <c r="C283">
        <v>77.043333333333337</v>
      </c>
    </row>
    <row r="284" spans="1:3" x14ac:dyDescent="0.25">
      <c r="A284" t="s">
        <v>6</v>
      </c>
      <c r="B284" t="s">
        <v>64</v>
      </c>
      <c r="C284">
        <v>79.38</v>
      </c>
    </row>
    <row r="285" spans="1:3" x14ac:dyDescent="0.25">
      <c r="A285" t="s">
        <v>7</v>
      </c>
      <c r="B285" t="s">
        <v>64</v>
      </c>
      <c r="C285">
        <v>77.303333333333327</v>
      </c>
    </row>
    <row r="286" spans="1:3" x14ac:dyDescent="0.25">
      <c r="A286" t="s">
        <v>8</v>
      </c>
      <c r="B286" t="s">
        <v>64</v>
      </c>
      <c r="C286">
        <v>75.653333333333336</v>
      </c>
    </row>
    <row r="287" spans="1:3" x14ac:dyDescent="0.25">
      <c r="A287" t="s">
        <v>9</v>
      </c>
      <c r="B287" t="s">
        <v>64</v>
      </c>
      <c r="C287">
        <v>79.319999999999993</v>
      </c>
    </row>
    <row r="288" spans="1:3" x14ac:dyDescent="0.25">
      <c r="A288" t="s">
        <v>10</v>
      </c>
      <c r="B288" t="s">
        <v>64</v>
      </c>
      <c r="C288">
        <v>80.733333333333334</v>
      </c>
    </row>
    <row r="289" spans="1:3" x14ac:dyDescent="0.25">
      <c r="A289" t="s">
        <v>11</v>
      </c>
      <c r="B289" t="s">
        <v>64</v>
      </c>
      <c r="C289">
        <v>80.7</v>
      </c>
    </row>
    <row r="290" spans="1:3" x14ac:dyDescent="0.25">
      <c r="A290" t="s">
        <v>12</v>
      </c>
      <c r="B290" t="s">
        <v>64</v>
      </c>
      <c r="C290">
        <v>78.176666666666662</v>
      </c>
    </row>
    <row r="291" spans="1:3" x14ac:dyDescent="0.25">
      <c r="A291" t="s">
        <v>13</v>
      </c>
      <c r="B291" t="s">
        <v>64</v>
      </c>
      <c r="C291">
        <v>81.83</v>
      </c>
    </row>
    <row r="292" spans="1:3" x14ac:dyDescent="0.25">
      <c r="A292" t="s">
        <v>14</v>
      </c>
      <c r="B292" t="s">
        <v>64</v>
      </c>
      <c r="C292">
        <v>81.56</v>
      </c>
    </row>
    <row r="293" spans="1:3" x14ac:dyDescent="0.25">
      <c r="A293" t="s">
        <v>15</v>
      </c>
      <c r="B293" t="s">
        <v>64</v>
      </c>
      <c r="C293">
        <v>81.03</v>
      </c>
    </row>
    <row r="294" spans="1:3" x14ac:dyDescent="0.25">
      <c r="A294" t="s">
        <v>16</v>
      </c>
      <c r="B294" t="s">
        <v>64</v>
      </c>
      <c r="C294">
        <v>77.896666666666661</v>
      </c>
    </row>
    <row r="295" spans="1:3" x14ac:dyDescent="0.25">
      <c r="A295" t="s">
        <v>17</v>
      </c>
      <c r="B295" t="s">
        <v>64</v>
      </c>
      <c r="C295">
        <v>81.650000000000006</v>
      </c>
    </row>
    <row r="296" spans="1:3" x14ac:dyDescent="0.25">
      <c r="A296" t="s">
        <v>18</v>
      </c>
      <c r="B296" t="s">
        <v>64</v>
      </c>
      <c r="C296">
        <v>81.916666666666671</v>
      </c>
    </row>
    <row r="297" spans="1:3" x14ac:dyDescent="0.25">
      <c r="A297" t="s">
        <v>19</v>
      </c>
      <c r="B297" t="s">
        <v>64</v>
      </c>
      <c r="C297">
        <v>79.649999999999991</v>
      </c>
    </row>
    <row r="298" spans="1:3" x14ac:dyDescent="0.25">
      <c r="A298" t="s">
        <v>20</v>
      </c>
      <c r="B298" t="s">
        <v>64</v>
      </c>
      <c r="C298">
        <v>76.97</v>
      </c>
    </row>
    <row r="299" spans="1:3" x14ac:dyDescent="0.25">
      <c r="A299" t="s">
        <v>21</v>
      </c>
      <c r="B299" t="s">
        <v>64</v>
      </c>
      <c r="C299">
        <v>81.486666666666665</v>
      </c>
    </row>
    <row r="300" spans="1:3" x14ac:dyDescent="0.25">
      <c r="A300" t="s">
        <v>22</v>
      </c>
      <c r="B300" t="s">
        <v>64</v>
      </c>
      <c r="C300">
        <v>80.806666666666672</v>
      </c>
    </row>
    <row r="301" spans="1:3" x14ac:dyDescent="0.25">
      <c r="A301" t="s">
        <v>23</v>
      </c>
      <c r="B301" t="s">
        <v>64</v>
      </c>
      <c r="C301">
        <v>80.39</v>
      </c>
    </row>
    <row r="302" spans="1:3" x14ac:dyDescent="0.25">
      <c r="A302" t="s">
        <v>24</v>
      </c>
      <c r="B302" t="s">
        <v>64</v>
      </c>
      <c r="C302">
        <v>79.056666666666672</v>
      </c>
    </row>
    <row r="303" spans="1:3" x14ac:dyDescent="0.25">
      <c r="A303" t="s">
        <v>25</v>
      </c>
      <c r="B303" t="s">
        <v>64</v>
      </c>
      <c r="C303">
        <v>83.803333333333327</v>
      </c>
    </row>
    <row r="304" spans="1:3" x14ac:dyDescent="0.25">
      <c r="A304" t="s">
        <v>26</v>
      </c>
      <c r="B304" t="s">
        <v>64</v>
      </c>
      <c r="C304">
        <v>84.33</v>
      </c>
    </row>
    <row r="305" spans="1:3" x14ac:dyDescent="0.25">
      <c r="A305" t="s">
        <v>27</v>
      </c>
      <c r="B305" t="s">
        <v>64</v>
      </c>
      <c r="C305">
        <v>82.26</v>
      </c>
    </row>
    <row r="306" spans="1:3" x14ac:dyDescent="0.25">
      <c r="A306" t="s">
        <v>28</v>
      </c>
      <c r="B306" t="s">
        <v>64</v>
      </c>
      <c r="C306">
        <v>79.976666666666659</v>
      </c>
    </row>
    <row r="307" spans="1:3" x14ac:dyDescent="0.25">
      <c r="A307" t="s">
        <v>29</v>
      </c>
      <c r="B307" t="s">
        <v>64</v>
      </c>
      <c r="C307">
        <v>84.73</v>
      </c>
    </row>
    <row r="308" spans="1:3" x14ac:dyDescent="0.25">
      <c r="A308" t="s">
        <v>30</v>
      </c>
      <c r="B308" t="s">
        <v>64</v>
      </c>
      <c r="C308">
        <v>85.303333333333327</v>
      </c>
    </row>
    <row r="309" spans="1:3" x14ac:dyDescent="0.25">
      <c r="A309" t="s">
        <v>31</v>
      </c>
      <c r="B309" t="s">
        <v>64</v>
      </c>
      <c r="C309">
        <v>84.23</v>
      </c>
    </row>
    <row r="310" spans="1:3" x14ac:dyDescent="0.25">
      <c r="A310" t="s">
        <v>32</v>
      </c>
      <c r="B310" t="s">
        <v>64</v>
      </c>
      <c r="C310">
        <v>80.373333333333335</v>
      </c>
    </row>
    <row r="311" spans="1:3" x14ac:dyDescent="0.25">
      <c r="A311" t="s">
        <v>33</v>
      </c>
      <c r="B311" t="s">
        <v>64</v>
      </c>
      <c r="C311">
        <v>85.67</v>
      </c>
    </row>
    <row r="312" spans="1:3" x14ac:dyDescent="0.25">
      <c r="A312" t="s">
        <v>34</v>
      </c>
      <c r="B312" t="s">
        <v>64</v>
      </c>
      <c r="C312">
        <v>85.303333333333327</v>
      </c>
    </row>
    <row r="313" spans="1:3" x14ac:dyDescent="0.25">
      <c r="A313" t="s">
        <v>35</v>
      </c>
      <c r="B313" t="s">
        <v>64</v>
      </c>
      <c r="C313">
        <v>84.596666666666664</v>
      </c>
    </row>
    <row r="314" spans="1:3" x14ac:dyDescent="0.25">
      <c r="A314" t="s">
        <v>36</v>
      </c>
      <c r="B314" t="s">
        <v>64</v>
      </c>
      <c r="C314">
        <v>80.010000000000005</v>
      </c>
    </row>
    <row r="315" spans="1:3" x14ac:dyDescent="0.25">
      <c r="A315" t="s">
        <v>37</v>
      </c>
      <c r="B315" t="s">
        <v>64</v>
      </c>
      <c r="C315">
        <v>85.713333333333338</v>
      </c>
    </row>
    <row r="316" spans="1:3" x14ac:dyDescent="0.25">
      <c r="A316" t="s">
        <v>38</v>
      </c>
      <c r="B316" t="s">
        <v>64</v>
      </c>
      <c r="C316">
        <v>84.71</v>
      </c>
    </row>
    <row r="317" spans="1:3" x14ac:dyDescent="0.25">
      <c r="A317" t="s">
        <v>39</v>
      </c>
      <c r="B317" t="s">
        <v>64</v>
      </c>
      <c r="C317">
        <v>85.226666666666659</v>
      </c>
    </row>
    <row r="318" spans="1:3" x14ac:dyDescent="0.25">
      <c r="A318" t="s">
        <v>40</v>
      </c>
      <c r="B318" t="s">
        <v>64</v>
      </c>
      <c r="C318">
        <v>81.38666666666667</v>
      </c>
    </row>
    <row r="319" spans="1:3" x14ac:dyDescent="0.25">
      <c r="A319" t="s">
        <v>41</v>
      </c>
      <c r="B319" t="s">
        <v>64</v>
      </c>
      <c r="C319">
        <v>84.713333333333338</v>
      </c>
    </row>
    <row r="320" spans="1:3" x14ac:dyDescent="0.25">
      <c r="A320" t="s">
        <v>42</v>
      </c>
      <c r="B320" t="s">
        <v>64</v>
      </c>
      <c r="C320">
        <v>83.696666666666673</v>
      </c>
    </row>
    <row r="321" spans="1:3" x14ac:dyDescent="0.25">
      <c r="A321" t="s">
        <v>43</v>
      </c>
      <c r="B321" t="s">
        <v>64</v>
      </c>
      <c r="C321">
        <v>83.6</v>
      </c>
    </row>
    <row r="322" spans="1:3" x14ac:dyDescent="0.25">
      <c r="A322" t="s">
        <v>44</v>
      </c>
      <c r="B322" t="s">
        <v>64</v>
      </c>
      <c r="C322">
        <v>80.83</v>
      </c>
    </row>
    <row r="323" spans="1:3" x14ac:dyDescent="0.25">
      <c r="A323" t="s">
        <v>45</v>
      </c>
      <c r="B323" t="s">
        <v>64</v>
      </c>
      <c r="C323">
        <v>86.33</v>
      </c>
    </row>
    <row r="324" spans="1:3" x14ac:dyDescent="0.25">
      <c r="A324" t="s">
        <v>46</v>
      </c>
      <c r="B324" t="s">
        <v>64</v>
      </c>
      <c r="C324">
        <v>83.39</v>
      </c>
    </row>
    <row r="325" spans="1:3" x14ac:dyDescent="0.25">
      <c r="A325" t="s">
        <v>47</v>
      </c>
      <c r="B325" t="s">
        <v>64</v>
      </c>
      <c r="C325">
        <v>83.06</v>
      </c>
    </row>
    <row r="326" spans="1:3" x14ac:dyDescent="0.25">
      <c r="A326" t="s">
        <v>48</v>
      </c>
      <c r="B326" t="s">
        <v>64</v>
      </c>
      <c r="C326">
        <v>67.116666666666674</v>
      </c>
    </row>
    <row r="327" spans="1:3" x14ac:dyDescent="0.25">
      <c r="A327" t="s">
        <v>49</v>
      </c>
      <c r="B327" t="s">
        <v>64</v>
      </c>
      <c r="C327">
        <v>29.09333333333333</v>
      </c>
    </row>
    <row r="328" spans="1:3" x14ac:dyDescent="0.25">
      <c r="A328" t="s">
        <v>50</v>
      </c>
      <c r="B328" t="s">
        <v>64</v>
      </c>
      <c r="C328">
        <v>45.403333333333336</v>
      </c>
    </row>
    <row r="329" spans="1:3" x14ac:dyDescent="0.25">
      <c r="A329" t="s">
        <v>51</v>
      </c>
      <c r="B329" t="s">
        <v>64</v>
      </c>
      <c r="C329">
        <v>54.053333333333335</v>
      </c>
    </row>
    <row r="330" spans="1:3" x14ac:dyDescent="0.25">
      <c r="A330" t="s">
        <v>52</v>
      </c>
      <c r="B330" t="s">
        <v>64</v>
      </c>
      <c r="C330">
        <v>63.519999999999996</v>
      </c>
    </row>
    <row r="331" spans="1:3" x14ac:dyDescent="0.25">
      <c r="A331" t="s">
        <v>53</v>
      </c>
      <c r="B331" t="s">
        <v>64</v>
      </c>
      <c r="C331">
        <v>82.63</v>
      </c>
    </row>
    <row r="332" spans="1:3" x14ac:dyDescent="0.25">
      <c r="A332" t="s">
        <v>54</v>
      </c>
      <c r="B332" t="s">
        <v>64</v>
      </c>
      <c r="C332">
        <v>80.513333333333335</v>
      </c>
    </row>
    <row r="333" spans="1:3" x14ac:dyDescent="0.25">
      <c r="A333" t="s">
        <v>55</v>
      </c>
      <c r="B333" t="s">
        <v>64</v>
      </c>
      <c r="C333">
        <v>81.053333333333327</v>
      </c>
    </row>
    <row r="334" spans="1:3" x14ac:dyDescent="0.25">
      <c r="A334" t="s">
        <v>56</v>
      </c>
      <c r="B334" t="s">
        <v>64</v>
      </c>
      <c r="C334">
        <v>76.7</v>
      </c>
    </row>
    <row r="335" spans="1:3" x14ac:dyDescent="0.25">
      <c r="A335" t="s">
        <v>57</v>
      </c>
      <c r="B335" t="s">
        <v>64</v>
      </c>
      <c r="C335">
        <v>87.086666666666659</v>
      </c>
    </row>
    <row r="336" spans="1:3" x14ac:dyDescent="0.25">
      <c r="A336" t="s">
        <v>58</v>
      </c>
      <c r="B336" t="s">
        <v>64</v>
      </c>
      <c r="C336">
        <v>85.233333333333334</v>
      </c>
    </row>
    <row r="337" spans="1:3" x14ac:dyDescent="0.25">
      <c r="A337" t="s">
        <v>59</v>
      </c>
      <c r="B337" t="s">
        <v>64</v>
      </c>
      <c r="C337">
        <v>83.256666666666675</v>
      </c>
    </row>
    <row r="338" spans="1:3" x14ac:dyDescent="0.25">
      <c r="A338" t="s">
        <v>3</v>
      </c>
      <c r="B338" t="s">
        <v>65</v>
      </c>
      <c r="C338">
        <v>75.956666666666663</v>
      </c>
    </row>
    <row r="339" spans="1:3" x14ac:dyDescent="0.25">
      <c r="A339" t="s">
        <v>5</v>
      </c>
      <c r="B339" t="s">
        <v>65</v>
      </c>
      <c r="C339">
        <v>80.516666666666666</v>
      </c>
    </row>
    <row r="340" spans="1:3" x14ac:dyDescent="0.25">
      <c r="A340" t="s">
        <v>6</v>
      </c>
      <c r="B340" t="s">
        <v>65</v>
      </c>
      <c r="C340">
        <v>83.99666666666667</v>
      </c>
    </row>
    <row r="341" spans="1:3" x14ac:dyDescent="0.25">
      <c r="A341" t="s">
        <v>7</v>
      </c>
      <c r="B341" t="s">
        <v>65</v>
      </c>
      <c r="C341">
        <v>80.36</v>
      </c>
    </row>
    <row r="342" spans="1:3" x14ac:dyDescent="0.25">
      <c r="A342" t="s">
        <v>8</v>
      </c>
      <c r="B342" t="s">
        <v>65</v>
      </c>
      <c r="C342">
        <v>76.873333333333335</v>
      </c>
    </row>
    <row r="343" spans="1:3" x14ac:dyDescent="0.25">
      <c r="A343" t="s">
        <v>9</v>
      </c>
      <c r="B343" t="s">
        <v>65</v>
      </c>
      <c r="C343">
        <v>82.94</v>
      </c>
    </row>
    <row r="344" spans="1:3" x14ac:dyDescent="0.25">
      <c r="A344" t="s">
        <v>10</v>
      </c>
      <c r="B344" t="s">
        <v>65</v>
      </c>
      <c r="C344">
        <v>84.773333333333326</v>
      </c>
    </row>
    <row r="345" spans="1:3" x14ac:dyDescent="0.25">
      <c r="A345" t="s">
        <v>11</v>
      </c>
      <c r="B345" t="s">
        <v>65</v>
      </c>
      <c r="C345">
        <v>82.416666666666657</v>
      </c>
    </row>
    <row r="346" spans="1:3" x14ac:dyDescent="0.25">
      <c r="A346" t="s">
        <v>12</v>
      </c>
      <c r="B346" t="s">
        <v>65</v>
      </c>
      <c r="C346">
        <v>81.846666666666664</v>
      </c>
    </row>
    <row r="347" spans="1:3" x14ac:dyDescent="0.25">
      <c r="A347" t="s">
        <v>13</v>
      </c>
      <c r="B347" t="s">
        <v>65</v>
      </c>
      <c r="C347">
        <v>82.016666666666666</v>
      </c>
    </row>
    <row r="348" spans="1:3" x14ac:dyDescent="0.25">
      <c r="A348" t="s">
        <v>14</v>
      </c>
      <c r="B348" t="s">
        <v>65</v>
      </c>
      <c r="C348">
        <v>84.843333333333334</v>
      </c>
    </row>
    <row r="349" spans="1:3" x14ac:dyDescent="0.25">
      <c r="A349" t="s">
        <v>15</v>
      </c>
      <c r="B349" t="s">
        <v>65</v>
      </c>
      <c r="C349">
        <v>83.076666666666668</v>
      </c>
    </row>
    <row r="350" spans="1:3" x14ac:dyDescent="0.25">
      <c r="A350" t="s">
        <v>16</v>
      </c>
      <c r="B350" t="s">
        <v>65</v>
      </c>
      <c r="C350">
        <v>83.26</v>
      </c>
    </row>
    <row r="351" spans="1:3" x14ac:dyDescent="0.25">
      <c r="A351" t="s">
        <v>17</v>
      </c>
      <c r="B351" t="s">
        <v>65</v>
      </c>
      <c r="C351">
        <v>85.62</v>
      </c>
    </row>
    <row r="352" spans="1:3" x14ac:dyDescent="0.25">
      <c r="A352" t="s">
        <v>18</v>
      </c>
      <c r="B352" t="s">
        <v>65</v>
      </c>
      <c r="C352">
        <v>84.683333333333337</v>
      </c>
    </row>
    <row r="353" spans="1:3" x14ac:dyDescent="0.25">
      <c r="A353" t="s">
        <v>19</v>
      </c>
      <c r="B353" t="s">
        <v>65</v>
      </c>
      <c r="C353">
        <v>83.14</v>
      </c>
    </row>
    <row r="354" spans="1:3" x14ac:dyDescent="0.25">
      <c r="A354" t="s">
        <v>20</v>
      </c>
      <c r="B354" t="s">
        <v>65</v>
      </c>
      <c r="C354">
        <v>84.39</v>
      </c>
    </row>
    <row r="355" spans="1:3" x14ac:dyDescent="0.25">
      <c r="A355" t="s">
        <v>21</v>
      </c>
      <c r="B355" t="s">
        <v>65</v>
      </c>
      <c r="C355">
        <v>85.073333333333338</v>
      </c>
    </row>
    <row r="356" spans="1:3" x14ac:dyDescent="0.25">
      <c r="A356" t="s">
        <v>22</v>
      </c>
      <c r="B356" t="s">
        <v>65</v>
      </c>
      <c r="C356">
        <v>85.076666666666668</v>
      </c>
    </row>
    <row r="357" spans="1:3" x14ac:dyDescent="0.25">
      <c r="A357" t="s">
        <v>23</v>
      </c>
      <c r="B357" t="s">
        <v>65</v>
      </c>
      <c r="C357">
        <v>81.466666666666669</v>
      </c>
    </row>
    <row r="358" spans="1:3" x14ac:dyDescent="0.25">
      <c r="A358" t="s">
        <v>24</v>
      </c>
      <c r="B358" t="s">
        <v>65</v>
      </c>
      <c r="C358">
        <v>83.603333333333325</v>
      </c>
    </row>
    <row r="359" spans="1:3" x14ac:dyDescent="0.25">
      <c r="A359" t="s">
        <v>25</v>
      </c>
      <c r="B359" t="s">
        <v>65</v>
      </c>
      <c r="C359">
        <v>85.896666666666675</v>
      </c>
    </row>
    <row r="360" spans="1:3" x14ac:dyDescent="0.25">
      <c r="A360" t="s">
        <v>26</v>
      </c>
      <c r="B360" t="s">
        <v>65</v>
      </c>
      <c r="C360">
        <v>86.826666666666668</v>
      </c>
    </row>
    <row r="361" spans="1:3" x14ac:dyDescent="0.25">
      <c r="A361" t="s">
        <v>27</v>
      </c>
      <c r="B361" t="s">
        <v>65</v>
      </c>
      <c r="C361">
        <v>83.696666666666673</v>
      </c>
    </row>
    <row r="362" spans="1:3" x14ac:dyDescent="0.25">
      <c r="A362" t="s">
        <v>28</v>
      </c>
      <c r="B362" t="s">
        <v>65</v>
      </c>
      <c r="C362">
        <v>84.983333333333334</v>
      </c>
    </row>
    <row r="363" spans="1:3" x14ac:dyDescent="0.25">
      <c r="A363" t="s">
        <v>29</v>
      </c>
      <c r="B363" t="s">
        <v>65</v>
      </c>
      <c r="C363">
        <v>86.033333333333331</v>
      </c>
    </row>
    <row r="364" spans="1:3" x14ac:dyDescent="0.25">
      <c r="A364" t="s">
        <v>30</v>
      </c>
      <c r="B364" t="s">
        <v>65</v>
      </c>
      <c r="C364">
        <v>85.1</v>
      </c>
    </row>
    <row r="365" spans="1:3" x14ac:dyDescent="0.25">
      <c r="A365" t="s">
        <v>31</v>
      </c>
      <c r="B365" t="s">
        <v>65</v>
      </c>
      <c r="C365">
        <v>84.14</v>
      </c>
    </row>
    <row r="366" spans="1:3" x14ac:dyDescent="0.25">
      <c r="A366" t="s">
        <v>32</v>
      </c>
      <c r="B366" t="s">
        <v>65</v>
      </c>
      <c r="C366">
        <v>84.346666666666664</v>
      </c>
    </row>
    <row r="367" spans="1:3" x14ac:dyDescent="0.25">
      <c r="A367" t="s">
        <v>33</v>
      </c>
      <c r="B367" t="s">
        <v>65</v>
      </c>
      <c r="C367">
        <v>85.553333333333342</v>
      </c>
    </row>
    <row r="368" spans="1:3" x14ac:dyDescent="0.25">
      <c r="A368" t="s">
        <v>34</v>
      </c>
      <c r="B368" t="s">
        <v>65</v>
      </c>
      <c r="C368">
        <v>86.256666666666661</v>
      </c>
    </row>
    <row r="369" spans="1:3" x14ac:dyDescent="0.25">
      <c r="A369" t="s">
        <v>35</v>
      </c>
      <c r="B369" t="s">
        <v>65</v>
      </c>
      <c r="C369">
        <v>85.326666666666668</v>
      </c>
    </row>
    <row r="370" spans="1:3" x14ac:dyDescent="0.25">
      <c r="A370" t="s">
        <v>36</v>
      </c>
      <c r="B370" t="s">
        <v>65</v>
      </c>
      <c r="C370">
        <v>84.456666666666663</v>
      </c>
    </row>
    <row r="371" spans="1:3" x14ac:dyDescent="0.25">
      <c r="A371" t="s">
        <v>37</v>
      </c>
      <c r="B371" t="s">
        <v>65</v>
      </c>
      <c r="C371">
        <v>85.543333333333337</v>
      </c>
    </row>
    <row r="372" spans="1:3" x14ac:dyDescent="0.25">
      <c r="A372" t="s">
        <v>38</v>
      </c>
      <c r="B372" t="s">
        <v>65</v>
      </c>
      <c r="C372">
        <v>84.593333333333334</v>
      </c>
    </row>
    <row r="373" spans="1:3" x14ac:dyDescent="0.25">
      <c r="A373" t="s">
        <v>39</v>
      </c>
      <c r="B373" t="s">
        <v>65</v>
      </c>
      <c r="C373">
        <v>83.916666666666671</v>
      </c>
    </row>
    <row r="374" spans="1:3" x14ac:dyDescent="0.25">
      <c r="A374" t="s">
        <v>40</v>
      </c>
      <c r="B374" t="s">
        <v>65</v>
      </c>
      <c r="C374">
        <v>83.306666666666672</v>
      </c>
    </row>
    <row r="375" spans="1:3" x14ac:dyDescent="0.25">
      <c r="A375" t="s">
        <v>41</v>
      </c>
      <c r="B375" t="s">
        <v>65</v>
      </c>
      <c r="C375">
        <v>84.536666666666662</v>
      </c>
    </row>
    <row r="376" spans="1:3" x14ac:dyDescent="0.25">
      <c r="A376" t="s">
        <v>42</v>
      </c>
      <c r="B376" t="s">
        <v>65</v>
      </c>
      <c r="C376">
        <v>86.146666666666661</v>
      </c>
    </row>
    <row r="377" spans="1:3" x14ac:dyDescent="0.25">
      <c r="A377" t="s">
        <v>43</v>
      </c>
      <c r="B377" t="s">
        <v>65</v>
      </c>
      <c r="C377">
        <v>83.996666666666655</v>
      </c>
    </row>
    <row r="378" spans="1:3" x14ac:dyDescent="0.25">
      <c r="A378" t="s">
        <v>44</v>
      </c>
      <c r="B378" t="s">
        <v>65</v>
      </c>
      <c r="C378">
        <v>83.433333333333337</v>
      </c>
    </row>
    <row r="379" spans="1:3" x14ac:dyDescent="0.25">
      <c r="A379" t="s">
        <v>45</v>
      </c>
      <c r="B379" t="s">
        <v>65</v>
      </c>
      <c r="C379">
        <v>87.27</v>
      </c>
    </row>
    <row r="380" spans="1:3" x14ac:dyDescent="0.25">
      <c r="A380" t="s">
        <v>46</v>
      </c>
      <c r="B380" t="s">
        <v>65</v>
      </c>
      <c r="C380">
        <v>86.173333333333332</v>
      </c>
    </row>
    <row r="381" spans="1:3" x14ac:dyDescent="0.25">
      <c r="A381" t="s">
        <v>47</v>
      </c>
      <c r="B381" t="s">
        <v>65</v>
      </c>
      <c r="C381">
        <v>82.926666666666677</v>
      </c>
    </row>
    <row r="382" spans="1:3" x14ac:dyDescent="0.25">
      <c r="A382" t="s">
        <v>48</v>
      </c>
      <c r="B382" t="s">
        <v>65</v>
      </c>
      <c r="C382">
        <v>67.55</v>
      </c>
    </row>
    <row r="383" spans="1:3" x14ac:dyDescent="0.25">
      <c r="A383" t="s">
        <v>49</v>
      </c>
      <c r="B383" t="s">
        <v>65</v>
      </c>
      <c r="C383">
        <v>32.443333333333335</v>
      </c>
    </row>
    <row r="384" spans="1:3" x14ac:dyDescent="0.25">
      <c r="A384" t="s">
        <v>50</v>
      </c>
      <c r="B384" t="s">
        <v>65</v>
      </c>
      <c r="C384">
        <v>42.343333333333334</v>
      </c>
    </row>
    <row r="385" spans="1:3" x14ac:dyDescent="0.25">
      <c r="A385" t="s">
        <v>51</v>
      </c>
      <c r="B385" t="s">
        <v>65</v>
      </c>
      <c r="C385">
        <v>52.07</v>
      </c>
    </row>
    <row r="386" spans="1:3" x14ac:dyDescent="0.25">
      <c r="A386" t="s">
        <v>52</v>
      </c>
      <c r="B386" t="s">
        <v>65</v>
      </c>
      <c r="C386">
        <v>67.56</v>
      </c>
    </row>
    <row r="387" spans="1:3" x14ac:dyDescent="0.25">
      <c r="A387" t="s">
        <v>53</v>
      </c>
      <c r="B387" t="s">
        <v>65</v>
      </c>
      <c r="C387">
        <v>82.173333333333332</v>
      </c>
    </row>
    <row r="388" spans="1:3" x14ac:dyDescent="0.25">
      <c r="A388" t="s">
        <v>54</v>
      </c>
      <c r="B388" t="s">
        <v>65</v>
      </c>
      <c r="C388">
        <v>80.789999999999992</v>
      </c>
    </row>
    <row r="389" spans="1:3" x14ac:dyDescent="0.25">
      <c r="A389" t="s">
        <v>55</v>
      </c>
      <c r="B389" t="s">
        <v>65</v>
      </c>
      <c r="C389">
        <v>80.153333333333336</v>
      </c>
    </row>
    <row r="390" spans="1:3" x14ac:dyDescent="0.25">
      <c r="A390" t="s">
        <v>56</v>
      </c>
      <c r="B390" t="s">
        <v>65</v>
      </c>
      <c r="C390">
        <v>71.259999999999991</v>
      </c>
    </row>
    <row r="391" spans="1:3" x14ac:dyDescent="0.25">
      <c r="A391" t="s">
        <v>57</v>
      </c>
      <c r="B391" t="s">
        <v>65</v>
      </c>
      <c r="C391">
        <v>86.566666666666663</v>
      </c>
    </row>
    <row r="392" spans="1:3" x14ac:dyDescent="0.25">
      <c r="A392" t="s">
        <v>58</v>
      </c>
      <c r="B392" t="s">
        <v>65</v>
      </c>
      <c r="C392">
        <v>85.713333333333338</v>
      </c>
    </row>
    <row r="393" spans="1:3" x14ac:dyDescent="0.25">
      <c r="A393" t="s">
        <v>59</v>
      </c>
      <c r="B393" t="s">
        <v>65</v>
      </c>
      <c r="C393">
        <v>84.226666666666674</v>
      </c>
    </row>
    <row r="394" spans="1:3" x14ac:dyDescent="0.25">
      <c r="A394" t="s">
        <v>3</v>
      </c>
      <c r="B394" t="s">
        <v>66</v>
      </c>
      <c r="C394">
        <v>74.7</v>
      </c>
    </row>
    <row r="395" spans="1:3" x14ac:dyDescent="0.25">
      <c r="A395" t="s">
        <v>5</v>
      </c>
      <c r="B395" t="s">
        <v>66</v>
      </c>
      <c r="C395">
        <v>79.106666666666669</v>
      </c>
    </row>
    <row r="396" spans="1:3" x14ac:dyDescent="0.25">
      <c r="A396" t="s">
        <v>6</v>
      </c>
      <c r="B396" t="s">
        <v>66</v>
      </c>
      <c r="C396">
        <v>82.023333333333341</v>
      </c>
    </row>
    <row r="397" spans="1:3" x14ac:dyDescent="0.25">
      <c r="A397" t="s">
        <v>7</v>
      </c>
      <c r="B397" t="s">
        <v>66</v>
      </c>
      <c r="C397">
        <v>80.180000000000007</v>
      </c>
    </row>
    <row r="398" spans="1:3" x14ac:dyDescent="0.25">
      <c r="A398" t="s">
        <v>8</v>
      </c>
      <c r="B398" t="s">
        <v>66</v>
      </c>
      <c r="C398">
        <v>79.936666666666667</v>
      </c>
    </row>
    <row r="399" spans="1:3" x14ac:dyDescent="0.25">
      <c r="A399" t="s">
        <v>9</v>
      </c>
      <c r="B399" t="s">
        <v>66</v>
      </c>
      <c r="C399">
        <v>82.416666666666671</v>
      </c>
    </row>
    <row r="400" spans="1:3" x14ac:dyDescent="0.25">
      <c r="A400" t="s">
        <v>10</v>
      </c>
      <c r="B400" t="s">
        <v>66</v>
      </c>
      <c r="C400">
        <v>84.96</v>
      </c>
    </row>
    <row r="401" spans="1:3" x14ac:dyDescent="0.25">
      <c r="A401" t="s">
        <v>11</v>
      </c>
      <c r="B401" t="s">
        <v>66</v>
      </c>
      <c r="C401">
        <v>83.686666666666667</v>
      </c>
    </row>
    <row r="402" spans="1:3" x14ac:dyDescent="0.25">
      <c r="A402" t="s">
        <v>12</v>
      </c>
      <c r="B402" t="s">
        <v>66</v>
      </c>
      <c r="C402">
        <v>82.976666666666674</v>
      </c>
    </row>
    <row r="403" spans="1:3" x14ac:dyDescent="0.25">
      <c r="A403" t="s">
        <v>13</v>
      </c>
      <c r="B403" t="s">
        <v>66</v>
      </c>
      <c r="C403">
        <v>84.73</v>
      </c>
    </row>
    <row r="404" spans="1:3" x14ac:dyDescent="0.25">
      <c r="A404" t="s">
        <v>14</v>
      </c>
      <c r="B404" t="s">
        <v>66</v>
      </c>
      <c r="C404">
        <v>86.846666666666664</v>
      </c>
    </row>
    <row r="405" spans="1:3" x14ac:dyDescent="0.25">
      <c r="A405" t="s">
        <v>15</v>
      </c>
      <c r="B405" t="s">
        <v>66</v>
      </c>
      <c r="C405">
        <v>85.38</v>
      </c>
    </row>
    <row r="406" spans="1:3" x14ac:dyDescent="0.25">
      <c r="A406" t="s">
        <v>16</v>
      </c>
      <c r="B406" t="s">
        <v>66</v>
      </c>
      <c r="C406">
        <v>85.513333333333335</v>
      </c>
    </row>
    <row r="407" spans="1:3" x14ac:dyDescent="0.25">
      <c r="A407" t="s">
        <v>17</v>
      </c>
      <c r="B407" t="s">
        <v>66</v>
      </c>
      <c r="C407">
        <v>87.313333333333333</v>
      </c>
    </row>
    <row r="408" spans="1:3" x14ac:dyDescent="0.25">
      <c r="A408" t="s">
        <v>18</v>
      </c>
      <c r="B408" t="s">
        <v>66</v>
      </c>
      <c r="C408">
        <v>87.21</v>
      </c>
    </row>
    <row r="409" spans="1:3" x14ac:dyDescent="0.25">
      <c r="A409" t="s">
        <v>19</v>
      </c>
      <c r="B409" t="s">
        <v>66</v>
      </c>
      <c r="C409">
        <v>85.86333333333333</v>
      </c>
    </row>
    <row r="410" spans="1:3" x14ac:dyDescent="0.25">
      <c r="A410" t="s">
        <v>20</v>
      </c>
      <c r="B410" t="s">
        <v>66</v>
      </c>
      <c r="C410">
        <v>85.286666666666662</v>
      </c>
    </row>
    <row r="411" spans="1:3" x14ac:dyDescent="0.25">
      <c r="A411" t="s">
        <v>21</v>
      </c>
      <c r="B411" t="s">
        <v>66</v>
      </c>
      <c r="C411">
        <v>86.67</v>
      </c>
    </row>
    <row r="412" spans="1:3" x14ac:dyDescent="0.25">
      <c r="A412" t="s">
        <v>22</v>
      </c>
      <c r="B412" t="s">
        <v>66</v>
      </c>
      <c r="C412">
        <v>86.383333333333326</v>
      </c>
    </row>
    <row r="413" spans="1:3" x14ac:dyDescent="0.25">
      <c r="A413" t="s">
        <v>23</v>
      </c>
      <c r="B413" t="s">
        <v>66</v>
      </c>
      <c r="C413">
        <v>84.53</v>
      </c>
    </row>
    <row r="414" spans="1:3" x14ac:dyDescent="0.25">
      <c r="A414" t="s">
        <v>24</v>
      </c>
      <c r="B414" t="s">
        <v>66</v>
      </c>
      <c r="C414">
        <v>85.106666666666669</v>
      </c>
    </row>
    <row r="415" spans="1:3" x14ac:dyDescent="0.25">
      <c r="A415" t="s">
        <v>25</v>
      </c>
      <c r="B415" t="s">
        <v>66</v>
      </c>
      <c r="C415">
        <v>86.67</v>
      </c>
    </row>
    <row r="416" spans="1:3" x14ac:dyDescent="0.25">
      <c r="A416" t="s">
        <v>26</v>
      </c>
      <c r="B416" t="s">
        <v>66</v>
      </c>
      <c r="C416">
        <v>86.173333333333332</v>
      </c>
    </row>
    <row r="417" spans="1:3" x14ac:dyDescent="0.25">
      <c r="A417" t="s">
        <v>27</v>
      </c>
      <c r="B417" t="s">
        <v>66</v>
      </c>
      <c r="C417">
        <v>83.926666666666662</v>
      </c>
    </row>
    <row r="418" spans="1:3" x14ac:dyDescent="0.25">
      <c r="A418" t="s">
        <v>28</v>
      </c>
      <c r="B418" t="s">
        <v>66</v>
      </c>
      <c r="C418">
        <v>83.996666666666655</v>
      </c>
    </row>
    <row r="419" spans="1:3" x14ac:dyDescent="0.25">
      <c r="A419" t="s">
        <v>29</v>
      </c>
      <c r="B419" t="s">
        <v>66</v>
      </c>
      <c r="C419">
        <v>85.49</v>
      </c>
    </row>
    <row r="420" spans="1:3" x14ac:dyDescent="0.25">
      <c r="A420" t="s">
        <v>30</v>
      </c>
      <c r="B420" t="s">
        <v>66</v>
      </c>
      <c r="C420">
        <v>86</v>
      </c>
    </row>
    <row r="421" spans="1:3" x14ac:dyDescent="0.25">
      <c r="A421" t="s">
        <v>31</v>
      </c>
      <c r="B421" t="s">
        <v>66</v>
      </c>
      <c r="C421">
        <v>83.066666666666663</v>
      </c>
    </row>
    <row r="422" spans="1:3" x14ac:dyDescent="0.25">
      <c r="A422" t="s">
        <v>32</v>
      </c>
      <c r="B422" t="s">
        <v>66</v>
      </c>
      <c r="C422">
        <v>82.573333333333338</v>
      </c>
    </row>
    <row r="423" spans="1:3" x14ac:dyDescent="0.25">
      <c r="A423" t="s">
        <v>33</v>
      </c>
      <c r="B423" t="s">
        <v>66</v>
      </c>
      <c r="C423">
        <v>85.733333333333334</v>
      </c>
    </row>
    <row r="424" spans="1:3" x14ac:dyDescent="0.25">
      <c r="A424" t="s">
        <v>34</v>
      </c>
      <c r="B424" t="s">
        <v>66</v>
      </c>
      <c r="C424">
        <v>86.356666666666669</v>
      </c>
    </row>
    <row r="425" spans="1:3" x14ac:dyDescent="0.25">
      <c r="A425" t="s">
        <v>35</v>
      </c>
      <c r="B425" t="s">
        <v>66</v>
      </c>
      <c r="C425">
        <v>85.62</v>
      </c>
    </row>
    <row r="426" spans="1:3" x14ac:dyDescent="0.25">
      <c r="A426" t="s">
        <v>36</v>
      </c>
      <c r="B426" t="s">
        <v>66</v>
      </c>
      <c r="C426">
        <v>82.646666666666661</v>
      </c>
    </row>
    <row r="427" spans="1:3" x14ac:dyDescent="0.25">
      <c r="A427" t="s">
        <v>37</v>
      </c>
      <c r="B427" t="s">
        <v>66</v>
      </c>
      <c r="C427">
        <v>87.62</v>
      </c>
    </row>
    <row r="428" spans="1:3" x14ac:dyDescent="0.25">
      <c r="A428" t="s">
        <v>38</v>
      </c>
      <c r="B428" t="s">
        <v>66</v>
      </c>
      <c r="C428">
        <v>86.38333333333334</v>
      </c>
    </row>
    <row r="429" spans="1:3" x14ac:dyDescent="0.25">
      <c r="A429" t="s">
        <v>39</v>
      </c>
      <c r="B429" t="s">
        <v>66</v>
      </c>
      <c r="C429">
        <v>84.88333333333334</v>
      </c>
    </row>
    <row r="430" spans="1:3" x14ac:dyDescent="0.25">
      <c r="A430" t="s">
        <v>40</v>
      </c>
      <c r="B430" t="s">
        <v>66</v>
      </c>
      <c r="C430">
        <v>80.846666666666664</v>
      </c>
    </row>
    <row r="431" spans="1:3" x14ac:dyDescent="0.25">
      <c r="A431" t="s">
        <v>41</v>
      </c>
      <c r="B431" t="s">
        <v>66</v>
      </c>
      <c r="C431">
        <v>86.473333333333329</v>
      </c>
    </row>
    <row r="432" spans="1:3" x14ac:dyDescent="0.25">
      <c r="A432" t="s">
        <v>42</v>
      </c>
      <c r="B432" t="s">
        <v>66</v>
      </c>
      <c r="C432">
        <v>85.19</v>
      </c>
    </row>
    <row r="433" spans="1:3" x14ac:dyDescent="0.25">
      <c r="A433" t="s">
        <v>43</v>
      </c>
      <c r="B433" t="s">
        <v>66</v>
      </c>
      <c r="C433">
        <v>83.76</v>
      </c>
    </row>
    <row r="434" spans="1:3" x14ac:dyDescent="0.25">
      <c r="A434" t="s">
        <v>44</v>
      </c>
      <c r="B434" t="s">
        <v>66</v>
      </c>
      <c r="C434">
        <v>80.13</v>
      </c>
    </row>
    <row r="435" spans="1:3" x14ac:dyDescent="0.25">
      <c r="A435" t="s">
        <v>45</v>
      </c>
      <c r="B435" t="s">
        <v>66</v>
      </c>
      <c r="C435">
        <v>86.543333333333337</v>
      </c>
    </row>
    <row r="436" spans="1:3" x14ac:dyDescent="0.25">
      <c r="A436" t="s">
        <v>46</v>
      </c>
      <c r="B436" t="s">
        <v>66</v>
      </c>
      <c r="C436">
        <v>86.063333333333333</v>
      </c>
    </row>
    <row r="437" spans="1:3" x14ac:dyDescent="0.25">
      <c r="A437" t="s">
        <v>47</v>
      </c>
      <c r="B437" t="s">
        <v>66</v>
      </c>
      <c r="C437">
        <v>83.773333333333341</v>
      </c>
    </row>
    <row r="438" spans="1:3" x14ac:dyDescent="0.25">
      <c r="A438" t="s">
        <v>48</v>
      </c>
      <c r="B438" t="s">
        <v>66</v>
      </c>
      <c r="C438">
        <v>68.803333333333342</v>
      </c>
    </row>
    <row r="439" spans="1:3" x14ac:dyDescent="0.25">
      <c r="A439" t="s">
        <v>49</v>
      </c>
      <c r="B439" t="s">
        <v>66</v>
      </c>
      <c r="C439">
        <v>35.74</v>
      </c>
    </row>
    <row r="440" spans="1:3" x14ac:dyDescent="0.25">
      <c r="A440" t="s">
        <v>50</v>
      </c>
      <c r="B440" t="s">
        <v>66</v>
      </c>
      <c r="C440">
        <v>47.303333333333335</v>
      </c>
    </row>
    <row r="441" spans="1:3" x14ac:dyDescent="0.25">
      <c r="A441" t="s">
        <v>51</v>
      </c>
      <c r="B441" t="s">
        <v>66</v>
      </c>
      <c r="C441">
        <v>44.33</v>
      </c>
    </row>
    <row r="442" spans="1:3" x14ac:dyDescent="0.25">
      <c r="A442" t="s">
        <v>52</v>
      </c>
      <c r="B442" t="s">
        <v>66</v>
      </c>
      <c r="C442">
        <v>50.96</v>
      </c>
    </row>
    <row r="443" spans="1:3" x14ac:dyDescent="0.25">
      <c r="A443" t="s">
        <v>53</v>
      </c>
      <c r="B443" t="s">
        <v>66</v>
      </c>
      <c r="C443">
        <v>76.486666666666665</v>
      </c>
    </row>
    <row r="444" spans="1:3" x14ac:dyDescent="0.25">
      <c r="A444" t="s">
        <v>54</v>
      </c>
      <c r="B444" t="s">
        <v>66</v>
      </c>
      <c r="C444">
        <v>80.686666666666667</v>
      </c>
    </row>
    <row r="445" spans="1:3" x14ac:dyDescent="0.25">
      <c r="A445" t="s">
        <v>55</v>
      </c>
      <c r="B445" t="s">
        <v>66</v>
      </c>
      <c r="C445">
        <v>79.083333333333329</v>
      </c>
    </row>
    <row r="446" spans="1:3" x14ac:dyDescent="0.25">
      <c r="A446" t="s">
        <v>56</v>
      </c>
      <c r="B446" t="s">
        <v>66</v>
      </c>
      <c r="C446">
        <v>76.039999999999992</v>
      </c>
    </row>
    <row r="447" spans="1:3" x14ac:dyDescent="0.25">
      <c r="A447" t="s">
        <v>57</v>
      </c>
      <c r="B447" t="s">
        <v>66</v>
      </c>
      <c r="C447">
        <v>88.72999999999999</v>
      </c>
    </row>
    <row r="448" spans="1:3" x14ac:dyDescent="0.25">
      <c r="A448" t="s">
        <v>58</v>
      </c>
      <c r="B448" t="s">
        <v>66</v>
      </c>
      <c r="C448">
        <v>86.876666666666665</v>
      </c>
    </row>
    <row r="449" spans="1:3" x14ac:dyDescent="0.25">
      <c r="A449" t="s">
        <v>59</v>
      </c>
      <c r="B449" t="s">
        <v>66</v>
      </c>
      <c r="C449">
        <v>85.553333333333327</v>
      </c>
    </row>
    <row r="450" spans="1:3" x14ac:dyDescent="0.25">
      <c r="A450" t="s">
        <v>3</v>
      </c>
      <c r="B450" t="s">
        <v>67</v>
      </c>
      <c r="C450">
        <v>79.626666666666665</v>
      </c>
    </row>
    <row r="451" spans="1:3" x14ac:dyDescent="0.25">
      <c r="A451" t="s">
        <v>5</v>
      </c>
      <c r="B451" t="s">
        <v>67</v>
      </c>
      <c r="C451">
        <v>82.243333333333339</v>
      </c>
    </row>
    <row r="452" spans="1:3" x14ac:dyDescent="0.25">
      <c r="A452" t="s">
        <v>6</v>
      </c>
      <c r="B452" t="s">
        <v>67</v>
      </c>
      <c r="C452">
        <v>83.296666666666667</v>
      </c>
    </row>
    <row r="453" spans="1:3" x14ac:dyDescent="0.25">
      <c r="A453" t="s">
        <v>7</v>
      </c>
      <c r="B453" t="s">
        <v>67</v>
      </c>
      <c r="C453">
        <v>79.39</v>
      </c>
    </row>
    <row r="454" spans="1:3" x14ac:dyDescent="0.25">
      <c r="A454" t="s">
        <v>8</v>
      </c>
      <c r="B454" t="s">
        <v>67</v>
      </c>
      <c r="C454">
        <v>81.81</v>
      </c>
    </row>
    <row r="455" spans="1:3" x14ac:dyDescent="0.25">
      <c r="A455" t="s">
        <v>9</v>
      </c>
      <c r="B455" t="s">
        <v>67</v>
      </c>
      <c r="C455">
        <v>81.183333333333337</v>
      </c>
    </row>
    <row r="456" spans="1:3" x14ac:dyDescent="0.25">
      <c r="A456" t="s">
        <v>10</v>
      </c>
      <c r="B456" t="s">
        <v>67</v>
      </c>
      <c r="C456">
        <v>83.656666666666666</v>
      </c>
    </row>
    <row r="457" spans="1:3" x14ac:dyDescent="0.25">
      <c r="A457" t="s">
        <v>11</v>
      </c>
      <c r="B457" t="s">
        <v>67</v>
      </c>
      <c r="C457">
        <v>85.36</v>
      </c>
    </row>
    <row r="458" spans="1:3" x14ac:dyDescent="0.25">
      <c r="A458" t="s">
        <v>12</v>
      </c>
      <c r="B458" t="s">
        <v>67</v>
      </c>
      <c r="C458">
        <v>84.686666666666667</v>
      </c>
    </row>
    <row r="459" spans="1:3" x14ac:dyDescent="0.25">
      <c r="A459" t="s">
        <v>13</v>
      </c>
      <c r="B459" t="s">
        <v>67</v>
      </c>
      <c r="C459">
        <v>85.963333333333338</v>
      </c>
    </row>
    <row r="460" spans="1:3" x14ac:dyDescent="0.25">
      <c r="A460" t="s">
        <v>14</v>
      </c>
      <c r="B460" t="s">
        <v>67</v>
      </c>
      <c r="C460">
        <v>87.4</v>
      </c>
    </row>
    <row r="461" spans="1:3" x14ac:dyDescent="0.25">
      <c r="A461" t="s">
        <v>15</v>
      </c>
      <c r="B461" t="s">
        <v>67</v>
      </c>
      <c r="C461">
        <v>85.88000000000001</v>
      </c>
    </row>
    <row r="462" spans="1:3" x14ac:dyDescent="0.25">
      <c r="A462" t="s">
        <v>16</v>
      </c>
      <c r="B462" t="s">
        <v>67</v>
      </c>
      <c r="C462">
        <v>85.693333333333328</v>
      </c>
    </row>
    <row r="463" spans="1:3" x14ac:dyDescent="0.25">
      <c r="A463" t="s">
        <v>17</v>
      </c>
      <c r="B463" t="s">
        <v>67</v>
      </c>
      <c r="C463">
        <v>85.73</v>
      </c>
    </row>
    <row r="464" spans="1:3" x14ac:dyDescent="0.25">
      <c r="A464" t="s">
        <v>18</v>
      </c>
      <c r="B464" t="s">
        <v>67</v>
      </c>
      <c r="C464">
        <v>86.733333333333334</v>
      </c>
    </row>
    <row r="465" spans="1:3" x14ac:dyDescent="0.25">
      <c r="A465" t="s">
        <v>19</v>
      </c>
      <c r="B465" t="s">
        <v>67</v>
      </c>
      <c r="C465">
        <v>85.8</v>
      </c>
    </row>
    <row r="466" spans="1:3" x14ac:dyDescent="0.25">
      <c r="A466" t="s">
        <v>20</v>
      </c>
      <c r="B466" t="s">
        <v>67</v>
      </c>
      <c r="C466">
        <v>85.54</v>
      </c>
    </row>
    <row r="467" spans="1:3" x14ac:dyDescent="0.25">
      <c r="A467" t="s">
        <v>21</v>
      </c>
      <c r="B467" t="s">
        <v>67</v>
      </c>
      <c r="C467">
        <v>86.743333333333339</v>
      </c>
    </row>
    <row r="468" spans="1:3" x14ac:dyDescent="0.25">
      <c r="A468" t="s">
        <v>22</v>
      </c>
      <c r="B468" t="s">
        <v>67</v>
      </c>
      <c r="C468">
        <v>89.67</v>
      </c>
    </row>
    <row r="469" spans="1:3" x14ac:dyDescent="0.25">
      <c r="A469" t="s">
        <v>23</v>
      </c>
      <c r="B469" t="s">
        <v>67</v>
      </c>
      <c r="C469">
        <v>86.616666666666674</v>
      </c>
    </row>
    <row r="470" spans="1:3" x14ac:dyDescent="0.25">
      <c r="A470" t="s">
        <v>24</v>
      </c>
      <c r="B470" t="s">
        <v>67</v>
      </c>
      <c r="C470">
        <v>87.656666666666666</v>
      </c>
    </row>
    <row r="471" spans="1:3" x14ac:dyDescent="0.25">
      <c r="A471" t="s">
        <v>25</v>
      </c>
      <c r="B471" t="s">
        <v>67</v>
      </c>
      <c r="C471">
        <v>88.206666666666663</v>
      </c>
    </row>
    <row r="472" spans="1:3" x14ac:dyDescent="0.25">
      <c r="A472" t="s">
        <v>26</v>
      </c>
      <c r="B472" t="s">
        <v>67</v>
      </c>
      <c r="C472">
        <v>87.773333333333341</v>
      </c>
    </row>
    <row r="473" spans="1:3" x14ac:dyDescent="0.25">
      <c r="A473" t="s">
        <v>27</v>
      </c>
      <c r="B473" t="s">
        <v>67</v>
      </c>
      <c r="C473">
        <v>83.893333333333331</v>
      </c>
    </row>
    <row r="474" spans="1:3" x14ac:dyDescent="0.25">
      <c r="A474" t="s">
        <v>28</v>
      </c>
      <c r="B474" t="s">
        <v>67</v>
      </c>
      <c r="C474">
        <v>85.51</v>
      </c>
    </row>
    <row r="475" spans="1:3" x14ac:dyDescent="0.25">
      <c r="A475" t="s">
        <v>29</v>
      </c>
      <c r="B475" t="s">
        <v>67</v>
      </c>
      <c r="C475">
        <v>86.39</v>
      </c>
    </row>
    <row r="476" spans="1:3" x14ac:dyDescent="0.25">
      <c r="A476" t="s">
        <v>30</v>
      </c>
      <c r="B476" t="s">
        <v>67</v>
      </c>
      <c r="C476">
        <v>84.486666666666665</v>
      </c>
    </row>
    <row r="477" spans="1:3" x14ac:dyDescent="0.25">
      <c r="A477" t="s">
        <v>31</v>
      </c>
      <c r="B477" t="s">
        <v>67</v>
      </c>
      <c r="C477">
        <v>82.673333333333332</v>
      </c>
    </row>
    <row r="478" spans="1:3" x14ac:dyDescent="0.25">
      <c r="A478" t="s">
        <v>32</v>
      </c>
      <c r="B478" t="s">
        <v>67</v>
      </c>
      <c r="C478">
        <v>84.963333333333338</v>
      </c>
    </row>
    <row r="479" spans="1:3" x14ac:dyDescent="0.25">
      <c r="A479" t="s">
        <v>33</v>
      </c>
      <c r="B479" t="s">
        <v>67</v>
      </c>
      <c r="C479">
        <v>85.84</v>
      </c>
    </row>
    <row r="480" spans="1:3" x14ac:dyDescent="0.25">
      <c r="A480" t="s">
        <v>34</v>
      </c>
      <c r="B480" t="s">
        <v>67</v>
      </c>
      <c r="C480">
        <v>86.02</v>
      </c>
    </row>
    <row r="481" spans="1:3" x14ac:dyDescent="0.25">
      <c r="A481" t="s">
        <v>35</v>
      </c>
      <c r="B481" t="s">
        <v>67</v>
      </c>
      <c r="C481">
        <v>81.183333333333337</v>
      </c>
    </row>
    <row r="482" spans="1:3" x14ac:dyDescent="0.25">
      <c r="A482" t="s">
        <v>36</v>
      </c>
      <c r="B482" t="s">
        <v>67</v>
      </c>
      <c r="C482">
        <v>81.693333333333328</v>
      </c>
    </row>
    <row r="483" spans="1:3" x14ac:dyDescent="0.25">
      <c r="A483" t="s">
        <v>37</v>
      </c>
      <c r="B483" t="s">
        <v>67</v>
      </c>
      <c r="C483">
        <v>85.74666666666667</v>
      </c>
    </row>
    <row r="484" spans="1:3" x14ac:dyDescent="0.25">
      <c r="A484" t="s">
        <v>38</v>
      </c>
      <c r="B484" t="s">
        <v>67</v>
      </c>
      <c r="C484">
        <v>83.626666666666665</v>
      </c>
    </row>
    <row r="485" spans="1:3" x14ac:dyDescent="0.25">
      <c r="A485" t="s">
        <v>39</v>
      </c>
      <c r="B485" t="s">
        <v>67</v>
      </c>
      <c r="C485">
        <v>81.803333333333327</v>
      </c>
    </row>
    <row r="486" spans="1:3" x14ac:dyDescent="0.25">
      <c r="A486" t="s">
        <v>40</v>
      </c>
      <c r="B486" t="s">
        <v>67</v>
      </c>
      <c r="C486">
        <v>81.546666666666667</v>
      </c>
    </row>
    <row r="487" spans="1:3" x14ac:dyDescent="0.25">
      <c r="A487" t="s">
        <v>41</v>
      </c>
      <c r="B487" t="s">
        <v>67</v>
      </c>
      <c r="C487">
        <v>84.573333333333338</v>
      </c>
    </row>
    <row r="488" spans="1:3" x14ac:dyDescent="0.25">
      <c r="A488" t="s">
        <v>42</v>
      </c>
      <c r="B488" t="s">
        <v>67</v>
      </c>
      <c r="C488">
        <v>86.696666666666673</v>
      </c>
    </row>
    <row r="489" spans="1:3" x14ac:dyDescent="0.25">
      <c r="A489" t="s">
        <v>43</v>
      </c>
      <c r="B489" t="s">
        <v>67</v>
      </c>
      <c r="C489">
        <v>86.016666666666666</v>
      </c>
    </row>
    <row r="490" spans="1:3" x14ac:dyDescent="0.25">
      <c r="A490" t="s">
        <v>44</v>
      </c>
      <c r="B490" t="s">
        <v>67</v>
      </c>
      <c r="C490">
        <v>83.736666666666665</v>
      </c>
    </row>
    <row r="491" spans="1:3" x14ac:dyDescent="0.25">
      <c r="A491" t="s">
        <v>45</v>
      </c>
      <c r="B491" t="s">
        <v>67</v>
      </c>
      <c r="C491">
        <v>86.056666666666672</v>
      </c>
    </row>
    <row r="492" spans="1:3" x14ac:dyDescent="0.25">
      <c r="A492" t="s">
        <v>46</v>
      </c>
      <c r="B492" t="s">
        <v>67</v>
      </c>
      <c r="C492">
        <v>84.63666666666667</v>
      </c>
    </row>
    <row r="493" spans="1:3" x14ac:dyDescent="0.25">
      <c r="A493" t="s">
        <v>47</v>
      </c>
      <c r="B493" t="s">
        <v>67</v>
      </c>
      <c r="C493">
        <v>85.536666666666662</v>
      </c>
    </row>
    <row r="494" spans="1:3" x14ac:dyDescent="0.25">
      <c r="A494" t="s">
        <v>48</v>
      </c>
      <c r="B494" t="s">
        <v>67</v>
      </c>
      <c r="C494">
        <v>71.13333333333334</v>
      </c>
    </row>
    <row r="495" spans="1:3" x14ac:dyDescent="0.25">
      <c r="A495" t="s">
        <v>49</v>
      </c>
      <c r="B495" t="s">
        <v>67</v>
      </c>
      <c r="C495">
        <v>54.13333333333334</v>
      </c>
    </row>
    <row r="496" spans="1:3" x14ac:dyDescent="0.25">
      <c r="A496" t="s">
        <v>50</v>
      </c>
      <c r="B496" t="s">
        <v>67</v>
      </c>
      <c r="C496">
        <v>69.48</v>
      </c>
    </row>
    <row r="497" spans="1:3" x14ac:dyDescent="0.25">
      <c r="A497" t="s">
        <v>51</v>
      </c>
      <c r="B497" t="s">
        <v>67</v>
      </c>
      <c r="C497">
        <v>72.733333333333334</v>
      </c>
    </row>
    <row r="498" spans="1:3" x14ac:dyDescent="0.25">
      <c r="A498" t="s">
        <v>52</v>
      </c>
      <c r="B498" t="s">
        <v>67</v>
      </c>
      <c r="C498">
        <v>74.376666666666665</v>
      </c>
    </row>
    <row r="499" spans="1:3" x14ac:dyDescent="0.25">
      <c r="A499" t="s">
        <v>53</v>
      </c>
      <c r="B499" t="s">
        <v>67</v>
      </c>
      <c r="C499">
        <v>85.033333333333331</v>
      </c>
    </row>
    <row r="500" spans="1:3" x14ac:dyDescent="0.25">
      <c r="A500" t="s">
        <v>54</v>
      </c>
      <c r="B500" t="s">
        <v>67</v>
      </c>
      <c r="C500">
        <v>77.896666666666661</v>
      </c>
    </row>
    <row r="501" spans="1:3" x14ac:dyDescent="0.25">
      <c r="A501" t="s">
        <v>55</v>
      </c>
      <c r="B501" t="s">
        <v>67</v>
      </c>
      <c r="C501">
        <v>81.81</v>
      </c>
    </row>
    <row r="502" spans="1:3" x14ac:dyDescent="0.25">
      <c r="A502" t="s">
        <v>56</v>
      </c>
      <c r="B502" t="s">
        <v>67</v>
      </c>
      <c r="C502">
        <v>79.296666666666667</v>
      </c>
    </row>
    <row r="503" spans="1:3" x14ac:dyDescent="0.25">
      <c r="A503" t="s">
        <v>57</v>
      </c>
      <c r="B503" t="s">
        <v>67</v>
      </c>
      <c r="C503">
        <v>87.433333333333337</v>
      </c>
    </row>
    <row r="504" spans="1:3" x14ac:dyDescent="0.25">
      <c r="A504" t="s">
        <v>58</v>
      </c>
      <c r="B504" t="s">
        <v>67</v>
      </c>
      <c r="C504">
        <v>83.183333333333337</v>
      </c>
    </row>
    <row r="505" spans="1:3" x14ac:dyDescent="0.25">
      <c r="A505" t="s">
        <v>59</v>
      </c>
      <c r="B505" t="s">
        <v>67</v>
      </c>
      <c r="C505">
        <v>81.596666666666664</v>
      </c>
    </row>
    <row r="506" spans="1:3" x14ac:dyDescent="0.25">
      <c r="A506" t="s">
        <v>3</v>
      </c>
      <c r="B506" t="s">
        <v>68</v>
      </c>
      <c r="C506">
        <v>73.713333333333338</v>
      </c>
    </row>
    <row r="507" spans="1:3" x14ac:dyDescent="0.25">
      <c r="A507" t="s">
        <v>5</v>
      </c>
      <c r="B507" t="s">
        <v>68</v>
      </c>
      <c r="C507">
        <v>82.86333333333333</v>
      </c>
    </row>
    <row r="508" spans="1:3" x14ac:dyDescent="0.25">
      <c r="A508" t="s">
        <v>6</v>
      </c>
      <c r="B508" t="s">
        <v>68</v>
      </c>
      <c r="C508">
        <v>87.283333333333331</v>
      </c>
    </row>
    <row r="509" spans="1:3" x14ac:dyDescent="0.25">
      <c r="A509" t="s">
        <v>7</v>
      </c>
      <c r="B509" t="s">
        <v>68</v>
      </c>
      <c r="C509">
        <v>78.903333333333336</v>
      </c>
    </row>
    <row r="510" spans="1:3" x14ac:dyDescent="0.25">
      <c r="A510" t="s">
        <v>8</v>
      </c>
      <c r="B510" t="s">
        <v>68</v>
      </c>
      <c r="C510">
        <v>74.756666666666675</v>
      </c>
    </row>
    <row r="511" spans="1:3" x14ac:dyDescent="0.25">
      <c r="A511" t="s">
        <v>9</v>
      </c>
      <c r="B511" t="s">
        <v>68</v>
      </c>
      <c r="C511">
        <v>85.72</v>
      </c>
    </row>
    <row r="512" spans="1:3" x14ac:dyDescent="0.25">
      <c r="A512" t="s">
        <v>10</v>
      </c>
      <c r="B512" t="s">
        <v>68</v>
      </c>
      <c r="C512">
        <v>87.55</v>
      </c>
    </row>
    <row r="513" spans="1:3" x14ac:dyDescent="0.25">
      <c r="A513" t="s">
        <v>11</v>
      </c>
      <c r="B513" t="s">
        <v>68</v>
      </c>
      <c r="C513">
        <v>82.55</v>
      </c>
    </row>
    <row r="514" spans="1:3" x14ac:dyDescent="0.25">
      <c r="A514" t="s">
        <v>12</v>
      </c>
      <c r="B514" t="s">
        <v>68</v>
      </c>
      <c r="C514">
        <v>79.733333333333334</v>
      </c>
    </row>
    <row r="515" spans="1:3" x14ac:dyDescent="0.25">
      <c r="A515" t="s">
        <v>13</v>
      </c>
      <c r="B515" t="s">
        <v>68</v>
      </c>
      <c r="C515">
        <v>88.31</v>
      </c>
    </row>
    <row r="516" spans="1:3" x14ac:dyDescent="0.25">
      <c r="A516" t="s">
        <v>14</v>
      </c>
      <c r="B516" t="s">
        <v>68</v>
      </c>
      <c r="C516">
        <v>90.75333333333333</v>
      </c>
    </row>
    <row r="517" spans="1:3" x14ac:dyDescent="0.25">
      <c r="A517" t="s">
        <v>15</v>
      </c>
      <c r="B517" t="s">
        <v>68</v>
      </c>
      <c r="C517">
        <v>88.429999999999993</v>
      </c>
    </row>
    <row r="518" spans="1:3" x14ac:dyDescent="0.25">
      <c r="A518" t="s">
        <v>16</v>
      </c>
      <c r="B518" t="s">
        <v>68</v>
      </c>
      <c r="C518">
        <v>84.876666666666665</v>
      </c>
    </row>
    <row r="519" spans="1:3" x14ac:dyDescent="0.25">
      <c r="A519" t="s">
        <v>17</v>
      </c>
      <c r="B519" t="s">
        <v>68</v>
      </c>
      <c r="C519">
        <v>90.766666666666666</v>
      </c>
    </row>
    <row r="520" spans="1:3" x14ac:dyDescent="0.25">
      <c r="A520" t="s">
        <v>18</v>
      </c>
      <c r="B520" t="s">
        <v>68</v>
      </c>
      <c r="C520">
        <v>92.27</v>
      </c>
    </row>
    <row r="521" spans="1:3" x14ac:dyDescent="0.25">
      <c r="A521" t="s">
        <v>19</v>
      </c>
      <c r="B521" t="s">
        <v>68</v>
      </c>
      <c r="C521">
        <v>89.873333333333335</v>
      </c>
    </row>
    <row r="522" spans="1:3" x14ac:dyDescent="0.25">
      <c r="A522" t="s">
        <v>20</v>
      </c>
      <c r="B522" t="s">
        <v>68</v>
      </c>
      <c r="C522">
        <v>88.573333333333338</v>
      </c>
    </row>
    <row r="523" spans="1:3" x14ac:dyDescent="0.25">
      <c r="A523" t="s">
        <v>21</v>
      </c>
      <c r="B523" t="s">
        <v>68</v>
      </c>
      <c r="C523">
        <v>91.39</v>
      </c>
    </row>
    <row r="524" spans="1:3" x14ac:dyDescent="0.25">
      <c r="A524" t="s">
        <v>22</v>
      </c>
      <c r="B524" t="s">
        <v>68</v>
      </c>
      <c r="C524">
        <v>93.663333333333341</v>
      </c>
    </row>
    <row r="525" spans="1:3" x14ac:dyDescent="0.25">
      <c r="A525" t="s">
        <v>23</v>
      </c>
      <c r="B525" t="s">
        <v>68</v>
      </c>
      <c r="C525">
        <v>91.88666666666667</v>
      </c>
    </row>
    <row r="526" spans="1:3" x14ac:dyDescent="0.25">
      <c r="A526" t="s">
        <v>24</v>
      </c>
      <c r="B526" t="s">
        <v>68</v>
      </c>
      <c r="C526">
        <v>88.086666666666673</v>
      </c>
    </row>
    <row r="527" spans="1:3" x14ac:dyDescent="0.25">
      <c r="A527" t="s">
        <v>25</v>
      </c>
      <c r="B527" t="s">
        <v>68</v>
      </c>
      <c r="C527">
        <v>91.093333333333334</v>
      </c>
    </row>
    <row r="528" spans="1:3" x14ac:dyDescent="0.25">
      <c r="A528" t="s">
        <v>26</v>
      </c>
      <c r="B528" t="s">
        <v>68</v>
      </c>
      <c r="C528">
        <v>91.573333333333338</v>
      </c>
    </row>
    <row r="529" spans="1:3" x14ac:dyDescent="0.25">
      <c r="A529" t="s">
        <v>27</v>
      </c>
      <c r="B529" t="s">
        <v>68</v>
      </c>
      <c r="C529">
        <v>87.85</v>
      </c>
    </row>
    <row r="530" spans="1:3" x14ac:dyDescent="0.25">
      <c r="A530" t="s">
        <v>28</v>
      </c>
      <c r="B530" t="s">
        <v>68</v>
      </c>
      <c r="C530">
        <v>85.05</v>
      </c>
    </row>
    <row r="531" spans="1:3" x14ac:dyDescent="0.25">
      <c r="A531" t="s">
        <v>29</v>
      </c>
      <c r="B531" t="s">
        <v>68</v>
      </c>
      <c r="C531">
        <v>86.316666666666663</v>
      </c>
    </row>
    <row r="532" spans="1:3" x14ac:dyDescent="0.25">
      <c r="A532" t="s">
        <v>30</v>
      </c>
      <c r="B532" t="s">
        <v>68</v>
      </c>
      <c r="C532">
        <v>88.196666666666673</v>
      </c>
    </row>
    <row r="533" spans="1:3" x14ac:dyDescent="0.25">
      <c r="A533" t="s">
        <v>31</v>
      </c>
      <c r="B533" t="s">
        <v>68</v>
      </c>
      <c r="C533">
        <v>88.036666666666676</v>
      </c>
    </row>
    <row r="534" spans="1:3" x14ac:dyDescent="0.25">
      <c r="A534" t="s">
        <v>32</v>
      </c>
      <c r="B534" t="s">
        <v>68</v>
      </c>
      <c r="C534">
        <v>87.813333333333333</v>
      </c>
    </row>
    <row r="535" spans="1:3" x14ac:dyDescent="0.25">
      <c r="A535" t="s">
        <v>33</v>
      </c>
      <c r="B535" t="s">
        <v>68</v>
      </c>
      <c r="C535">
        <v>87.563333333333333</v>
      </c>
    </row>
    <row r="536" spans="1:3" x14ac:dyDescent="0.25">
      <c r="A536" t="s">
        <v>34</v>
      </c>
      <c r="B536" t="s">
        <v>68</v>
      </c>
      <c r="C536">
        <v>88.213333333333324</v>
      </c>
    </row>
    <row r="537" spans="1:3" x14ac:dyDescent="0.25">
      <c r="A537" t="s">
        <v>35</v>
      </c>
      <c r="B537" t="s">
        <v>68</v>
      </c>
      <c r="C537">
        <v>86.056666666666672</v>
      </c>
    </row>
    <row r="538" spans="1:3" x14ac:dyDescent="0.25">
      <c r="A538" t="s">
        <v>36</v>
      </c>
      <c r="B538" t="s">
        <v>68</v>
      </c>
      <c r="C538">
        <v>86.783333333333331</v>
      </c>
    </row>
    <row r="539" spans="1:3" x14ac:dyDescent="0.25">
      <c r="A539" t="s">
        <v>37</v>
      </c>
      <c r="B539" t="s">
        <v>68</v>
      </c>
      <c r="C539">
        <v>87.536666666666676</v>
      </c>
    </row>
    <row r="540" spans="1:3" x14ac:dyDescent="0.25">
      <c r="A540" t="s">
        <v>38</v>
      </c>
      <c r="B540" t="s">
        <v>68</v>
      </c>
      <c r="C540">
        <v>85.486666666666665</v>
      </c>
    </row>
    <row r="541" spans="1:3" x14ac:dyDescent="0.25">
      <c r="A541" t="s">
        <v>39</v>
      </c>
      <c r="B541" t="s">
        <v>68</v>
      </c>
      <c r="C541">
        <v>87.203333333333333</v>
      </c>
    </row>
    <row r="542" spans="1:3" x14ac:dyDescent="0.25">
      <c r="A542" t="s">
        <v>40</v>
      </c>
      <c r="B542" t="s">
        <v>68</v>
      </c>
      <c r="C542">
        <v>85.38666666666667</v>
      </c>
    </row>
    <row r="543" spans="1:3" x14ac:dyDescent="0.25">
      <c r="A543" t="s">
        <v>41</v>
      </c>
      <c r="B543" t="s">
        <v>68</v>
      </c>
      <c r="C543">
        <v>86.696666666666673</v>
      </c>
    </row>
    <row r="544" spans="1:3" x14ac:dyDescent="0.25">
      <c r="A544" t="s">
        <v>42</v>
      </c>
      <c r="B544" t="s">
        <v>68</v>
      </c>
      <c r="C544">
        <v>86.31</v>
      </c>
    </row>
    <row r="545" spans="1:3" x14ac:dyDescent="0.25">
      <c r="A545" t="s">
        <v>43</v>
      </c>
      <c r="B545" t="s">
        <v>68</v>
      </c>
      <c r="C545">
        <v>85.396666666666661</v>
      </c>
    </row>
    <row r="546" spans="1:3" x14ac:dyDescent="0.25">
      <c r="A546" t="s">
        <v>44</v>
      </c>
      <c r="B546" t="s">
        <v>68</v>
      </c>
      <c r="C546">
        <v>86.706666666666663</v>
      </c>
    </row>
    <row r="547" spans="1:3" x14ac:dyDescent="0.25">
      <c r="A547" t="s">
        <v>45</v>
      </c>
      <c r="B547" t="s">
        <v>68</v>
      </c>
      <c r="C547">
        <v>88.483333333333334</v>
      </c>
    </row>
    <row r="548" spans="1:3" x14ac:dyDescent="0.25">
      <c r="A548" t="s">
        <v>46</v>
      </c>
      <c r="B548" t="s">
        <v>68</v>
      </c>
      <c r="C548">
        <v>86.210000000000008</v>
      </c>
    </row>
    <row r="549" spans="1:3" x14ac:dyDescent="0.25">
      <c r="A549" t="s">
        <v>47</v>
      </c>
      <c r="B549" t="s">
        <v>68</v>
      </c>
      <c r="C549">
        <v>85.173333333333332</v>
      </c>
    </row>
    <row r="550" spans="1:3" x14ac:dyDescent="0.25">
      <c r="A550" t="s">
        <v>48</v>
      </c>
      <c r="B550" t="s">
        <v>68</v>
      </c>
      <c r="C550">
        <v>73.599999999999994</v>
      </c>
    </row>
    <row r="551" spans="1:3" x14ac:dyDescent="0.25">
      <c r="A551" t="s">
        <v>49</v>
      </c>
      <c r="B551" t="s">
        <v>68</v>
      </c>
      <c r="C551">
        <v>44.84</v>
      </c>
    </row>
    <row r="552" spans="1:3" x14ac:dyDescent="0.25">
      <c r="A552" t="s">
        <v>50</v>
      </c>
      <c r="B552" t="s">
        <v>68</v>
      </c>
      <c r="C552">
        <v>62.646666666666661</v>
      </c>
    </row>
    <row r="553" spans="1:3" x14ac:dyDescent="0.25">
      <c r="A553" t="s">
        <v>51</v>
      </c>
      <c r="B553" t="s">
        <v>68</v>
      </c>
      <c r="C553">
        <v>65.566666666666663</v>
      </c>
    </row>
    <row r="554" spans="1:3" x14ac:dyDescent="0.25">
      <c r="A554" t="s">
        <v>52</v>
      </c>
      <c r="B554" t="s">
        <v>68</v>
      </c>
      <c r="C554">
        <v>70.313333333333333</v>
      </c>
    </row>
    <row r="555" spans="1:3" x14ac:dyDescent="0.25">
      <c r="A555" t="s">
        <v>53</v>
      </c>
      <c r="B555" t="s">
        <v>68</v>
      </c>
      <c r="C555">
        <v>80.073333333333338</v>
      </c>
    </row>
    <row r="556" spans="1:3" x14ac:dyDescent="0.25">
      <c r="A556" t="s">
        <v>54</v>
      </c>
      <c r="B556" t="s">
        <v>68</v>
      </c>
      <c r="C556">
        <v>77.56</v>
      </c>
    </row>
    <row r="557" spans="1:3" x14ac:dyDescent="0.25">
      <c r="A557" t="s">
        <v>55</v>
      </c>
      <c r="B557" t="s">
        <v>68</v>
      </c>
      <c r="C557">
        <v>75.783333333333331</v>
      </c>
    </row>
    <row r="558" spans="1:3" x14ac:dyDescent="0.25">
      <c r="A558" t="s">
        <v>56</v>
      </c>
      <c r="B558" t="s">
        <v>68</v>
      </c>
      <c r="C558">
        <v>76</v>
      </c>
    </row>
    <row r="559" spans="1:3" x14ac:dyDescent="0.25">
      <c r="A559" t="s">
        <v>57</v>
      </c>
      <c r="B559" t="s">
        <v>68</v>
      </c>
      <c r="C559">
        <v>85.823333333333338</v>
      </c>
    </row>
    <row r="560" spans="1:3" x14ac:dyDescent="0.25">
      <c r="A560" t="s">
        <v>58</v>
      </c>
      <c r="B560" t="s">
        <v>68</v>
      </c>
      <c r="C560">
        <v>82.903333333333336</v>
      </c>
    </row>
    <row r="561" spans="1:3" x14ac:dyDescent="0.25">
      <c r="A561" t="s">
        <v>59</v>
      </c>
      <c r="B561" t="s">
        <v>68</v>
      </c>
      <c r="C561">
        <v>82.55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6BF14-D515-48DD-AEB7-57954AE061E0}">
  <dimension ref="A1:C561"/>
  <sheetViews>
    <sheetView workbookViewId="0"/>
  </sheetViews>
  <sheetFormatPr defaultRowHeight="15" x14ac:dyDescent="0.25"/>
  <cols>
    <col min="1" max="1" width="15" bestFit="1" customWidth="1"/>
    <col min="2" max="2" width="17.42578125" bestFit="1" customWidth="1"/>
    <col min="3" max="3" width="13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 t="s">
        <v>4</v>
      </c>
      <c r="C2">
        <v>-365661</v>
      </c>
    </row>
    <row r="3" spans="1:3" x14ac:dyDescent="0.25">
      <c r="A3" t="s">
        <v>5</v>
      </c>
      <c r="B3" s="1" t="s">
        <v>4</v>
      </c>
      <c r="C3">
        <v>-389835</v>
      </c>
    </row>
    <row r="4" spans="1:3" x14ac:dyDescent="0.25">
      <c r="A4" t="s">
        <v>6</v>
      </c>
      <c r="B4" s="1" t="s">
        <v>4</v>
      </c>
      <c r="C4">
        <v>-376810</v>
      </c>
    </row>
    <row r="5" spans="1:3" x14ac:dyDescent="0.25">
      <c r="A5" t="s">
        <v>7</v>
      </c>
      <c r="B5" s="1" t="s">
        <v>4</v>
      </c>
      <c r="C5">
        <v>-343475</v>
      </c>
    </row>
    <row r="6" spans="1:3" x14ac:dyDescent="0.25">
      <c r="A6" t="s">
        <v>8</v>
      </c>
      <c r="B6" s="1" t="s">
        <v>4</v>
      </c>
      <c r="C6">
        <v>-488786</v>
      </c>
    </row>
    <row r="7" spans="1:3" x14ac:dyDescent="0.25">
      <c r="A7" t="s">
        <v>9</v>
      </c>
      <c r="B7" s="1" t="s">
        <v>4</v>
      </c>
      <c r="C7">
        <v>-6818</v>
      </c>
    </row>
    <row r="8" spans="1:3" x14ac:dyDescent="0.25">
      <c r="A8" t="s">
        <v>10</v>
      </c>
      <c r="B8" s="1" t="s">
        <v>4</v>
      </c>
      <c r="C8">
        <v>128583</v>
      </c>
    </row>
    <row r="9" spans="1:3" x14ac:dyDescent="0.25">
      <c r="A9" t="s">
        <v>11</v>
      </c>
      <c r="B9" s="1" t="s">
        <v>4</v>
      </c>
      <c r="C9">
        <v>-102197</v>
      </c>
    </row>
    <row r="10" spans="1:3" x14ac:dyDescent="0.25">
      <c r="A10" t="s">
        <v>12</v>
      </c>
      <c r="B10" s="1" t="s">
        <v>4</v>
      </c>
      <c r="C10">
        <v>-430511</v>
      </c>
    </row>
    <row r="11" spans="1:3" x14ac:dyDescent="0.25">
      <c r="A11" t="s">
        <v>13</v>
      </c>
      <c r="B11" s="1" t="s">
        <v>4</v>
      </c>
      <c r="C11">
        <v>-284356</v>
      </c>
    </row>
    <row r="12" spans="1:3" x14ac:dyDescent="0.25">
      <c r="A12" t="s">
        <v>14</v>
      </c>
      <c r="B12" s="1" t="s">
        <v>4</v>
      </c>
      <c r="C12">
        <v>-153152</v>
      </c>
    </row>
    <row r="13" spans="1:3" x14ac:dyDescent="0.25">
      <c r="A13" t="s">
        <v>15</v>
      </c>
      <c r="B13" s="1" t="s">
        <v>4</v>
      </c>
      <c r="C13">
        <v>-1097082</v>
      </c>
    </row>
    <row r="14" spans="1:3" x14ac:dyDescent="0.25">
      <c r="A14" t="s">
        <v>16</v>
      </c>
      <c r="B14" s="1" t="s">
        <v>4</v>
      </c>
      <c r="C14">
        <v>-1676208</v>
      </c>
    </row>
    <row r="15" spans="1:3" x14ac:dyDescent="0.25">
      <c r="A15" t="s">
        <v>17</v>
      </c>
      <c r="B15" s="1" t="s">
        <v>4</v>
      </c>
      <c r="C15">
        <v>-263749</v>
      </c>
    </row>
    <row r="16" spans="1:3" x14ac:dyDescent="0.25">
      <c r="A16" t="s">
        <v>18</v>
      </c>
      <c r="B16" s="1" t="s">
        <v>4</v>
      </c>
      <c r="C16">
        <v>-256922</v>
      </c>
    </row>
    <row r="17" spans="1:3" x14ac:dyDescent="0.25">
      <c r="A17" t="s">
        <v>19</v>
      </c>
      <c r="B17" s="1" t="s">
        <v>4</v>
      </c>
      <c r="C17">
        <v>270778</v>
      </c>
    </row>
    <row r="18" spans="1:3" x14ac:dyDescent="0.25">
      <c r="A18" t="s">
        <v>20</v>
      </c>
      <c r="B18" s="1" t="s">
        <v>4</v>
      </c>
      <c r="C18">
        <v>-252848</v>
      </c>
    </row>
    <row r="19" spans="1:3" x14ac:dyDescent="0.25">
      <c r="A19" t="s">
        <v>21</v>
      </c>
      <c r="B19" s="1" t="s">
        <v>4</v>
      </c>
      <c r="C19">
        <v>227756</v>
      </c>
    </row>
    <row r="20" spans="1:3" x14ac:dyDescent="0.25">
      <c r="A20" t="s">
        <v>22</v>
      </c>
      <c r="B20" s="1" t="s">
        <v>4</v>
      </c>
      <c r="C20">
        <v>289839</v>
      </c>
    </row>
    <row r="21" spans="1:3" x14ac:dyDescent="0.25">
      <c r="A21" t="s">
        <v>23</v>
      </c>
      <c r="B21" s="1" t="s">
        <v>4</v>
      </c>
      <c r="C21">
        <v>-1790454</v>
      </c>
    </row>
    <row r="22" spans="1:3" x14ac:dyDescent="0.25">
      <c r="A22" t="s">
        <v>24</v>
      </c>
      <c r="B22" s="1" t="s">
        <v>4</v>
      </c>
      <c r="C22">
        <v>400689</v>
      </c>
    </row>
    <row r="23" spans="1:3" x14ac:dyDescent="0.25">
      <c r="A23" t="s">
        <v>25</v>
      </c>
      <c r="B23" s="1" t="s">
        <v>4</v>
      </c>
      <c r="C23">
        <v>265411</v>
      </c>
    </row>
    <row r="24" spans="1:3" x14ac:dyDescent="0.25">
      <c r="A24" t="s">
        <v>26</v>
      </c>
      <c r="B24" s="1" t="s">
        <v>4</v>
      </c>
      <c r="C24">
        <v>465461</v>
      </c>
    </row>
    <row r="25" spans="1:3" x14ac:dyDescent="0.25">
      <c r="A25" t="s">
        <v>27</v>
      </c>
      <c r="B25" s="1" t="s">
        <v>4</v>
      </c>
      <c r="C25">
        <v>178177</v>
      </c>
    </row>
    <row r="26" spans="1:3" x14ac:dyDescent="0.25">
      <c r="A26" t="s">
        <v>28</v>
      </c>
      <c r="B26" s="1" t="s">
        <v>4</v>
      </c>
      <c r="C26">
        <v>568888</v>
      </c>
    </row>
    <row r="27" spans="1:3" x14ac:dyDescent="0.25">
      <c r="A27" t="s">
        <v>29</v>
      </c>
      <c r="B27" s="1" t="s">
        <v>4</v>
      </c>
      <c r="C27">
        <v>1051543</v>
      </c>
    </row>
    <row r="28" spans="1:3" x14ac:dyDescent="0.25">
      <c r="A28" t="s">
        <v>30</v>
      </c>
      <c r="B28" s="1" t="s">
        <v>4</v>
      </c>
      <c r="C28">
        <v>1722143</v>
      </c>
    </row>
    <row r="29" spans="1:3" x14ac:dyDescent="0.25">
      <c r="A29" t="s">
        <v>31</v>
      </c>
      <c r="B29" s="1" t="s">
        <v>4</v>
      </c>
      <c r="C29">
        <v>3750106</v>
      </c>
    </row>
    <row r="30" spans="1:3" x14ac:dyDescent="0.25">
      <c r="A30" t="s">
        <v>32</v>
      </c>
      <c r="B30" s="1" t="s">
        <v>4</v>
      </c>
      <c r="C30">
        <v>710272</v>
      </c>
    </row>
    <row r="31" spans="1:3" x14ac:dyDescent="0.25">
      <c r="A31" t="s">
        <v>33</v>
      </c>
      <c r="B31" s="1" t="s">
        <v>4</v>
      </c>
      <c r="C31">
        <v>972247</v>
      </c>
    </row>
    <row r="32" spans="1:3" x14ac:dyDescent="0.25">
      <c r="A32" t="s">
        <v>34</v>
      </c>
      <c r="B32" s="1" t="s">
        <v>4</v>
      </c>
      <c r="C32">
        <v>758111</v>
      </c>
    </row>
    <row r="33" spans="1:3" x14ac:dyDescent="0.25">
      <c r="A33" t="s">
        <v>35</v>
      </c>
      <c r="B33" s="1" t="s">
        <v>4</v>
      </c>
      <c r="C33">
        <v>340583</v>
      </c>
    </row>
    <row r="34" spans="1:3" x14ac:dyDescent="0.25">
      <c r="A34" t="s">
        <v>36</v>
      </c>
      <c r="B34" s="1" t="s">
        <v>4</v>
      </c>
      <c r="C34">
        <v>262590</v>
      </c>
    </row>
    <row r="35" spans="1:3" x14ac:dyDescent="0.25">
      <c r="A35" t="s">
        <v>37</v>
      </c>
      <c r="B35" s="1" t="s">
        <v>4</v>
      </c>
      <c r="C35">
        <v>826895</v>
      </c>
    </row>
    <row r="36" spans="1:3" x14ac:dyDescent="0.25">
      <c r="A36" t="s">
        <v>38</v>
      </c>
      <c r="B36" s="1" t="s">
        <v>4</v>
      </c>
      <c r="C36">
        <v>648700</v>
      </c>
    </row>
    <row r="37" spans="1:3" x14ac:dyDescent="0.25">
      <c r="A37" t="s">
        <v>39</v>
      </c>
      <c r="B37" s="1" t="s">
        <v>4</v>
      </c>
      <c r="C37">
        <v>183552</v>
      </c>
    </row>
    <row r="38" spans="1:3" x14ac:dyDescent="0.25">
      <c r="A38" t="s">
        <v>40</v>
      </c>
      <c r="B38" s="1" t="s">
        <v>4</v>
      </c>
      <c r="C38">
        <v>236066</v>
      </c>
    </row>
    <row r="39" spans="1:3" x14ac:dyDescent="0.25">
      <c r="A39" t="s">
        <v>41</v>
      </c>
      <c r="B39" s="1" t="s">
        <v>4</v>
      </c>
      <c r="C39">
        <v>618941</v>
      </c>
    </row>
    <row r="40" spans="1:3" x14ac:dyDescent="0.25">
      <c r="A40" t="s">
        <v>42</v>
      </c>
      <c r="B40" s="1" t="s">
        <v>4</v>
      </c>
      <c r="C40">
        <v>402575</v>
      </c>
    </row>
    <row r="41" spans="1:3" x14ac:dyDescent="0.25">
      <c r="A41" t="s">
        <v>43</v>
      </c>
      <c r="B41" s="1" t="s">
        <v>4</v>
      </c>
      <c r="C41">
        <v>400485</v>
      </c>
    </row>
    <row r="42" spans="1:3" x14ac:dyDescent="0.25">
      <c r="A42" t="s">
        <v>44</v>
      </c>
      <c r="B42" s="1" t="s">
        <v>4</v>
      </c>
      <c r="C42">
        <v>229855</v>
      </c>
    </row>
    <row r="43" spans="1:3" x14ac:dyDescent="0.25">
      <c r="A43" t="s">
        <v>45</v>
      </c>
      <c r="B43" s="1" t="s">
        <v>4</v>
      </c>
      <c r="C43">
        <v>713914</v>
      </c>
    </row>
    <row r="44" spans="1:3" x14ac:dyDescent="0.25">
      <c r="A44" t="s">
        <v>46</v>
      </c>
      <c r="B44" s="1" t="s">
        <v>4</v>
      </c>
      <c r="C44">
        <v>507896</v>
      </c>
    </row>
    <row r="45" spans="1:3" x14ac:dyDescent="0.25">
      <c r="A45" t="s">
        <v>47</v>
      </c>
      <c r="B45" s="1" t="s">
        <v>4</v>
      </c>
      <c r="C45">
        <v>520460</v>
      </c>
    </row>
    <row r="46" spans="1:3" x14ac:dyDescent="0.25">
      <c r="A46" t="s">
        <v>48</v>
      </c>
      <c r="B46" s="1" t="s">
        <v>4</v>
      </c>
      <c r="C46">
        <v>-2168980</v>
      </c>
    </row>
    <row r="47" spans="1:3" x14ac:dyDescent="0.25">
      <c r="A47" t="s">
        <v>49</v>
      </c>
      <c r="B47" s="1" t="s">
        <v>4</v>
      </c>
      <c r="C47">
        <v>-1968013</v>
      </c>
    </row>
    <row r="48" spans="1:3" x14ac:dyDescent="0.25">
      <c r="A48" t="s">
        <v>50</v>
      </c>
      <c r="B48" s="1" t="s">
        <v>4</v>
      </c>
      <c r="C48">
        <v>-2275515</v>
      </c>
    </row>
    <row r="49" spans="1:3" x14ac:dyDescent="0.25">
      <c r="A49" t="s">
        <v>51</v>
      </c>
      <c r="B49" s="1" t="s">
        <v>4</v>
      </c>
      <c r="C49">
        <v>-2037012</v>
      </c>
    </row>
    <row r="50" spans="1:3" x14ac:dyDescent="0.25">
      <c r="A50" t="s">
        <v>52</v>
      </c>
      <c r="B50" s="1" t="s">
        <v>4</v>
      </c>
      <c r="C50">
        <v>-1215616</v>
      </c>
    </row>
    <row r="51" spans="1:3" x14ac:dyDescent="0.25">
      <c r="A51" t="s">
        <v>53</v>
      </c>
      <c r="B51" s="1" t="s">
        <v>4</v>
      </c>
      <c r="C51">
        <v>50899</v>
      </c>
    </row>
    <row r="52" spans="1:3" x14ac:dyDescent="0.25">
      <c r="A52" t="s">
        <v>54</v>
      </c>
      <c r="B52" s="1" t="s">
        <v>4</v>
      </c>
      <c r="C52">
        <v>280351</v>
      </c>
    </row>
    <row r="53" spans="1:3" x14ac:dyDescent="0.25">
      <c r="A53" t="s">
        <v>55</v>
      </c>
      <c r="B53" s="1" t="s">
        <v>4</v>
      </c>
      <c r="C53">
        <v>-893185</v>
      </c>
    </row>
    <row r="54" spans="1:3" x14ac:dyDescent="0.25">
      <c r="A54" t="s">
        <v>56</v>
      </c>
      <c r="B54" s="1" t="s">
        <v>4</v>
      </c>
      <c r="C54">
        <v>-1577921</v>
      </c>
    </row>
    <row r="55" spans="1:3" x14ac:dyDescent="0.25">
      <c r="A55" t="s">
        <v>57</v>
      </c>
      <c r="B55" s="1" t="s">
        <v>4</v>
      </c>
      <c r="C55">
        <v>522137</v>
      </c>
    </row>
    <row r="56" spans="1:3" x14ac:dyDescent="0.25">
      <c r="A56" t="s">
        <v>58</v>
      </c>
      <c r="B56" s="1" t="s">
        <v>4</v>
      </c>
      <c r="C56">
        <v>539309</v>
      </c>
    </row>
    <row r="57" spans="1:3" x14ac:dyDescent="0.25">
      <c r="A57" t="s">
        <v>59</v>
      </c>
      <c r="B57" s="1" t="s">
        <v>4</v>
      </c>
      <c r="C57">
        <v>854459</v>
      </c>
    </row>
    <row r="58" spans="1:3" x14ac:dyDescent="0.25">
      <c r="A58" t="s">
        <v>3</v>
      </c>
      <c r="B58" s="1" t="s">
        <v>60</v>
      </c>
      <c r="C58">
        <v>24494</v>
      </c>
    </row>
    <row r="59" spans="1:3" x14ac:dyDescent="0.25">
      <c r="A59" t="s">
        <v>5</v>
      </c>
      <c r="B59" s="1" t="s">
        <v>60</v>
      </c>
      <c r="C59">
        <v>28214</v>
      </c>
    </row>
    <row r="60" spans="1:3" x14ac:dyDescent="0.25">
      <c r="A60" t="s">
        <v>6</v>
      </c>
      <c r="B60" s="1" t="s">
        <v>60</v>
      </c>
      <c r="C60">
        <v>31342</v>
      </c>
    </row>
    <row r="61" spans="1:3" x14ac:dyDescent="0.25">
      <c r="A61" t="s">
        <v>7</v>
      </c>
      <c r="B61" s="1" t="s">
        <v>60</v>
      </c>
      <c r="C61">
        <v>36049</v>
      </c>
    </row>
    <row r="62" spans="1:3" x14ac:dyDescent="0.25">
      <c r="A62" t="s">
        <v>8</v>
      </c>
      <c r="B62" s="1" t="s">
        <v>60</v>
      </c>
      <c r="C62">
        <v>1572</v>
      </c>
    </row>
    <row r="63" spans="1:3" x14ac:dyDescent="0.25">
      <c r="A63" t="s">
        <v>9</v>
      </c>
      <c r="B63" s="1" t="s">
        <v>60</v>
      </c>
      <c r="C63">
        <v>9877</v>
      </c>
    </row>
    <row r="64" spans="1:3" x14ac:dyDescent="0.25">
      <c r="A64" t="s">
        <v>10</v>
      </c>
      <c r="B64" s="1" t="s">
        <v>60</v>
      </c>
      <c r="C64">
        <v>31760</v>
      </c>
    </row>
    <row r="65" spans="1:3" x14ac:dyDescent="0.25">
      <c r="A65" t="s">
        <v>11</v>
      </c>
      <c r="B65" s="1" t="s">
        <v>60</v>
      </c>
      <c r="C65">
        <v>71166</v>
      </c>
    </row>
    <row r="66" spans="1:3" x14ac:dyDescent="0.25">
      <c r="A66" t="s">
        <v>12</v>
      </c>
      <c r="B66" s="1" t="s">
        <v>60</v>
      </c>
      <c r="C66">
        <v>2376</v>
      </c>
    </row>
    <row r="67" spans="1:3" x14ac:dyDescent="0.25">
      <c r="A67" t="s">
        <v>13</v>
      </c>
      <c r="B67" s="1" t="s">
        <v>60</v>
      </c>
      <c r="C67">
        <v>-46951</v>
      </c>
    </row>
    <row r="68" spans="1:3" x14ac:dyDescent="0.25">
      <c r="A68" t="s">
        <v>14</v>
      </c>
      <c r="B68" s="1" t="s">
        <v>60</v>
      </c>
      <c r="C68">
        <v>28374</v>
      </c>
    </row>
    <row r="69" spans="1:3" x14ac:dyDescent="0.25">
      <c r="A69" t="s">
        <v>15</v>
      </c>
      <c r="B69" s="1" t="s">
        <v>60</v>
      </c>
      <c r="C69">
        <v>24168</v>
      </c>
    </row>
    <row r="70" spans="1:3" x14ac:dyDescent="0.25">
      <c r="A70" t="s">
        <v>16</v>
      </c>
      <c r="B70" s="1" t="s">
        <v>60</v>
      </c>
      <c r="C70">
        <v>10538</v>
      </c>
    </row>
    <row r="71" spans="1:3" x14ac:dyDescent="0.25">
      <c r="A71" t="s">
        <v>17</v>
      </c>
      <c r="B71" s="1" t="s">
        <v>60</v>
      </c>
      <c r="C71">
        <v>7108</v>
      </c>
    </row>
    <row r="72" spans="1:3" x14ac:dyDescent="0.25">
      <c r="A72" t="s">
        <v>18</v>
      </c>
      <c r="B72" s="1" t="s">
        <v>60</v>
      </c>
      <c r="C72">
        <v>49054</v>
      </c>
    </row>
    <row r="73" spans="1:3" x14ac:dyDescent="0.25">
      <c r="A73" t="s">
        <v>19</v>
      </c>
      <c r="B73" s="1" t="s">
        <v>60</v>
      </c>
      <c r="C73">
        <v>-441</v>
      </c>
    </row>
    <row r="74" spans="1:3" x14ac:dyDescent="0.25">
      <c r="A74" t="s">
        <v>20</v>
      </c>
      <c r="B74" s="1" t="s">
        <v>60</v>
      </c>
      <c r="C74">
        <v>-14349</v>
      </c>
    </row>
    <row r="75" spans="1:3" x14ac:dyDescent="0.25">
      <c r="A75" t="s">
        <v>21</v>
      </c>
      <c r="B75" s="1" t="s">
        <v>60</v>
      </c>
      <c r="C75">
        <v>14531</v>
      </c>
    </row>
    <row r="76" spans="1:3" x14ac:dyDescent="0.25">
      <c r="A76" t="s">
        <v>22</v>
      </c>
      <c r="B76" s="1" t="s">
        <v>60</v>
      </c>
      <c r="C76">
        <v>42778</v>
      </c>
    </row>
    <row r="77" spans="1:3" x14ac:dyDescent="0.25">
      <c r="A77" t="s">
        <v>23</v>
      </c>
      <c r="B77" s="1" t="s">
        <v>60</v>
      </c>
      <c r="C77">
        <v>19398</v>
      </c>
    </row>
    <row r="78" spans="1:3" x14ac:dyDescent="0.25">
      <c r="A78" t="s">
        <v>24</v>
      </c>
      <c r="B78" s="1" t="s">
        <v>60</v>
      </c>
      <c r="C78">
        <v>-2966</v>
      </c>
    </row>
    <row r="79" spans="1:3" x14ac:dyDescent="0.25">
      <c r="A79" t="s">
        <v>25</v>
      </c>
      <c r="B79" s="1" t="s">
        <v>60</v>
      </c>
      <c r="C79">
        <v>29761</v>
      </c>
    </row>
    <row r="80" spans="1:3" x14ac:dyDescent="0.25">
      <c r="A80" t="s">
        <v>26</v>
      </c>
      <c r="B80" s="1" t="s">
        <v>60</v>
      </c>
      <c r="C80">
        <v>38004</v>
      </c>
    </row>
    <row r="81" spans="1:3" x14ac:dyDescent="0.25">
      <c r="A81" t="s">
        <v>27</v>
      </c>
      <c r="B81" s="1" t="s">
        <v>60</v>
      </c>
      <c r="C81">
        <v>14988</v>
      </c>
    </row>
    <row r="82" spans="1:3" x14ac:dyDescent="0.25">
      <c r="A82" t="s">
        <v>28</v>
      </c>
      <c r="B82" s="1" t="s">
        <v>60</v>
      </c>
      <c r="C82">
        <v>32651</v>
      </c>
    </row>
    <row r="83" spans="1:3" x14ac:dyDescent="0.25">
      <c r="A83" t="s">
        <v>29</v>
      </c>
      <c r="B83" s="1" t="s">
        <v>60</v>
      </c>
      <c r="C83">
        <v>50162</v>
      </c>
    </row>
    <row r="84" spans="1:3" x14ac:dyDescent="0.25">
      <c r="A84" t="s">
        <v>30</v>
      </c>
      <c r="B84" s="1" t="s">
        <v>60</v>
      </c>
      <c r="C84">
        <v>71098</v>
      </c>
    </row>
    <row r="85" spans="1:3" x14ac:dyDescent="0.25">
      <c r="A85" t="s">
        <v>31</v>
      </c>
      <c r="B85" s="1" t="s">
        <v>60</v>
      </c>
      <c r="C85">
        <v>38956</v>
      </c>
    </row>
    <row r="86" spans="1:3" x14ac:dyDescent="0.25">
      <c r="A86" t="s">
        <v>32</v>
      </c>
      <c r="B86" s="1" t="s">
        <v>60</v>
      </c>
      <c r="C86">
        <v>53016</v>
      </c>
    </row>
    <row r="87" spans="1:3" x14ac:dyDescent="0.25">
      <c r="A87" t="s">
        <v>33</v>
      </c>
      <c r="B87" s="1" t="s">
        <v>60</v>
      </c>
      <c r="C87">
        <v>80739</v>
      </c>
    </row>
    <row r="88" spans="1:3" x14ac:dyDescent="0.25">
      <c r="A88" t="s">
        <v>34</v>
      </c>
      <c r="B88" s="1" t="s">
        <v>60</v>
      </c>
      <c r="C88">
        <v>103518</v>
      </c>
    </row>
    <row r="89" spans="1:3" x14ac:dyDescent="0.25">
      <c r="A89" t="s">
        <v>35</v>
      </c>
      <c r="B89" s="1" t="s">
        <v>60</v>
      </c>
      <c r="C89">
        <v>3168</v>
      </c>
    </row>
    <row r="90" spans="1:3" x14ac:dyDescent="0.25">
      <c r="A90" t="s">
        <v>36</v>
      </c>
      <c r="B90" s="1" t="s">
        <v>60</v>
      </c>
      <c r="C90">
        <v>38963</v>
      </c>
    </row>
    <row r="91" spans="1:3" x14ac:dyDescent="0.25">
      <c r="A91" t="s">
        <v>37</v>
      </c>
      <c r="B91" s="1" t="s">
        <v>60</v>
      </c>
      <c r="C91">
        <v>81839</v>
      </c>
    </row>
    <row r="92" spans="1:3" x14ac:dyDescent="0.25">
      <c r="A92" t="s">
        <v>38</v>
      </c>
      <c r="B92" s="1" t="s">
        <v>60</v>
      </c>
      <c r="C92">
        <v>75779</v>
      </c>
    </row>
    <row r="93" spans="1:3" x14ac:dyDescent="0.25">
      <c r="A93" t="s">
        <v>39</v>
      </c>
      <c r="B93" s="1" t="s">
        <v>60</v>
      </c>
      <c r="C93">
        <v>173197</v>
      </c>
    </row>
    <row r="94" spans="1:3" x14ac:dyDescent="0.25">
      <c r="A94" t="s">
        <v>40</v>
      </c>
      <c r="B94" s="1" t="s">
        <v>60</v>
      </c>
      <c r="C94">
        <v>29848</v>
      </c>
    </row>
    <row r="95" spans="1:3" x14ac:dyDescent="0.25">
      <c r="A95" t="s">
        <v>41</v>
      </c>
      <c r="B95" s="1" t="s">
        <v>60</v>
      </c>
      <c r="C95">
        <v>82842</v>
      </c>
    </row>
    <row r="96" spans="1:3" x14ac:dyDescent="0.25">
      <c r="A96" t="s">
        <v>42</v>
      </c>
      <c r="B96" s="1" t="s">
        <v>60</v>
      </c>
      <c r="C96">
        <v>95352</v>
      </c>
    </row>
    <row r="97" spans="1:3" x14ac:dyDescent="0.25">
      <c r="A97" t="s">
        <v>43</v>
      </c>
      <c r="B97" s="1" t="s">
        <v>60</v>
      </c>
      <c r="C97">
        <v>35222</v>
      </c>
    </row>
    <row r="98" spans="1:3" x14ac:dyDescent="0.25">
      <c r="A98" t="s">
        <v>44</v>
      </c>
      <c r="B98" s="1" t="s">
        <v>60</v>
      </c>
      <c r="C98">
        <v>40083</v>
      </c>
    </row>
    <row r="99" spans="1:3" x14ac:dyDescent="0.25">
      <c r="A99" t="s">
        <v>45</v>
      </c>
      <c r="B99" s="1" t="s">
        <v>60</v>
      </c>
      <c r="C99">
        <v>61755</v>
      </c>
    </row>
    <row r="100" spans="1:3" x14ac:dyDescent="0.25">
      <c r="A100" t="s">
        <v>46</v>
      </c>
      <c r="B100" s="1" t="s">
        <v>60</v>
      </c>
      <c r="C100">
        <v>85555</v>
      </c>
    </row>
    <row r="101" spans="1:3" x14ac:dyDescent="0.25">
      <c r="A101" t="s">
        <v>47</v>
      </c>
      <c r="B101" s="1" t="s">
        <v>60</v>
      </c>
      <c r="C101">
        <v>50692</v>
      </c>
    </row>
    <row r="102" spans="1:3" x14ac:dyDescent="0.25">
      <c r="A102" t="s">
        <v>48</v>
      </c>
      <c r="B102" s="1" t="s">
        <v>60</v>
      </c>
      <c r="C102">
        <v>-142438</v>
      </c>
    </row>
    <row r="103" spans="1:3" x14ac:dyDescent="0.25">
      <c r="A103" t="s">
        <v>49</v>
      </c>
      <c r="B103" s="1" t="s">
        <v>60</v>
      </c>
      <c r="C103">
        <v>-80870</v>
      </c>
    </row>
    <row r="104" spans="1:3" x14ac:dyDescent="0.25">
      <c r="A104" t="s">
        <v>50</v>
      </c>
      <c r="B104" s="1" t="s">
        <v>60</v>
      </c>
      <c r="C104">
        <v>-95932</v>
      </c>
    </row>
    <row r="105" spans="1:3" x14ac:dyDescent="0.25">
      <c r="A105" t="s">
        <v>51</v>
      </c>
      <c r="B105" s="1" t="s">
        <v>60</v>
      </c>
      <c r="C105">
        <v>-157285</v>
      </c>
    </row>
    <row r="106" spans="1:3" x14ac:dyDescent="0.25">
      <c r="A106" t="s">
        <v>52</v>
      </c>
      <c r="B106" s="1" t="s">
        <v>60</v>
      </c>
      <c r="C106">
        <v>-59013</v>
      </c>
    </row>
    <row r="107" spans="1:3" x14ac:dyDescent="0.25">
      <c r="A107" t="s">
        <v>53</v>
      </c>
      <c r="B107" s="1" t="s">
        <v>60</v>
      </c>
      <c r="C107">
        <v>-1192</v>
      </c>
    </row>
    <row r="108" spans="1:3" x14ac:dyDescent="0.25">
      <c r="A108" t="s">
        <v>54</v>
      </c>
      <c r="B108" s="1" t="s">
        <v>60</v>
      </c>
      <c r="C108">
        <v>16188</v>
      </c>
    </row>
    <row r="109" spans="1:3" x14ac:dyDescent="0.25">
      <c r="A109" t="s">
        <v>55</v>
      </c>
      <c r="B109" s="1" t="s">
        <v>60</v>
      </c>
      <c r="C109">
        <v>-91065</v>
      </c>
    </row>
    <row r="110" spans="1:3" x14ac:dyDescent="0.25">
      <c r="A110" t="s">
        <v>56</v>
      </c>
      <c r="B110" s="1" t="s">
        <v>60</v>
      </c>
      <c r="C110">
        <v>-120940</v>
      </c>
    </row>
    <row r="111" spans="1:3" x14ac:dyDescent="0.25">
      <c r="A111" t="s">
        <v>57</v>
      </c>
      <c r="B111" s="1" t="s">
        <v>60</v>
      </c>
      <c r="C111">
        <v>-38415</v>
      </c>
    </row>
    <row r="112" spans="1:3" x14ac:dyDescent="0.25">
      <c r="A112" t="s">
        <v>58</v>
      </c>
      <c r="B112" s="1" t="s">
        <v>60</v>
      </c>
      <c r="C112">
        <v>-2661</v>
      </c>
    </row>
    <row r="113" spans="1:3" x14ac:dyDescent="0.25">
      <c r="A113" t="s">
        <v>59</v>
      </c>
      <c r="B113" s="1" t="s">
        <v>60</v>
      </c>
      <c r="C113">
        <v>-49096</v>
      </c>
    </row>
    <row r="114" spans="1:3" x14ac:dyDescent="0.25">
      <c r="A114" t="s">
        <v>3</v>
      </c>
      <c r="B114" s="1" t="s">
        <v>61</v>
      </c>
      <c r="C114">
        <v>40267</v>
      </c>
    </row>
    <row r="115" spans="1:3" x14ac:dyDescent="0.25">
      <c r="A115" t="s">
        <v>5</v>
      </c>
      <c r="B115" s="1" t="s">
        <v>61</v>
      </c>
      <c r="C115">
        <v>32979</v>
      </c>
    </row>
    <row r="116" spans="1:3" x14ac:dyDescent="0.25">
      <c r="A116" t="s">
        <v>6</v>
      </c>
      <c r="B116" s="1" t="s">
        <v>61</v>
      </c>
      <c r="C116">
        <v>17236</v>
      </c>
    </row>
    <row r="117" spans="1:3" x14ac:dyDescent="0.25">
      <c r="A117" t="s">
        <v>7</v>
      </c>
      <c r="B117" s="1" t="s">
        <v>61</v>
      </c>
      <c r="C117">
        <v>14174</v>
      </c>
    </row>
    <row r="118" spans="1:3" x14ac:dyDescent="0.25">
      <c r="A118" t="s">
        <v>8</v>
      </c>
      <c r="B118" s="1" t="s">
        <v>61</v>
      </c>
      <c r="C118">
        <v>31915</v>
      </c>
    </row>
    <row r="119" spans="1:3" x14ac:dyDescent="0.25">
      <c r="A119" t="s">
        <v>9</v>
      </c>
      <c r="B119" s="1" t="s">
        <v>61</v>
      </c>
      <c r="C119">
        <v>21789</v>
      </c>
    </row>
    <row r="120" spans="1:3" x14ac:dyDescent="0.25">
      <c r="A120" t="s">
        <v>10</v>
      </c>
      <c r="B120" s="1" t="s">
        <v>61</v>
      </c>
      <c r="C120">
        <v>14085</v>
      </c>
    </row>
    <row r="121" spans="1:3" x14ac:dyDescent="0.25">
      <c r="A121" t="s">
        <v>11</v>
      </c>
      <c r="B121" s="1" t="s">
        <v>61</v>
      </c>
      <c r="C121">
        <v>17157</v>
      </c>
    </row>
    <row r="122" spans="1:3" x14ac:dyDescent="0.25">
      <c r="A122" t="s">
        <v>12</v>
      </c>
      <c r="B122" s="1" t="s">
        <v>61</v>
      </c>
      <c r="C122">
        <v>23384</v>
      </c>
    </row>
    <row r="123" spans="1:3" x14ac:dyDescent="0.25">
      <c r="A123" t="s">
        <v>13</v>
      </c>
      <c r="B123" s="1" t="s">
        <v>61</v>
      </c>
      <c r="C123">
        <v>13940</v>
      </c>
    </row>
    <row r="124" spans="1:3" x14ac:dyDescent="0.25">
      <c r="A124" t="s">
        <v>14</v>
      </c>
      <c r="B124" s="1" t="s">
        <v>61</v>
      </c>
      <c r="C124">
        <v>10722</v>
      </c>
    </row>
    <row r="125" spans="1:3" x14ac:dyDescent="0.25">
      <c r="A125" t="s">
        <v>15</v>
      </c>
      <c r="B125" s="1" t="s">
        <v>61</v>
      </c>
      <c r="C125">
        <v>15631</v>
      </c>
    </row>
    <row r="126" spans="1:3" x14ac:dyDescent="0.25">
      <c r="A126" t="s">
        <v>16</v>
      </c>
      <c r="B126" s="1" t="s">
        <v>61</v>
      </c>
      <c r="C126">
        <v>29168</v>
      </c>
    </row>
    <row r="127" spans="1:3" x14ac:dyDescent="0.25">
      <c r="A127" t="s">
        <v>17</v>
      </c>
      <c r="B127" s="1" t="s">
        <v>61</v>
      </c>
      <c r="C127">
        <v>33841</v>
      </c>
    </row>
    <row r="128" spans="1:3" x14ac:dyDescent="0.25">
      <c r="A128" t="s">
        <v>18</v>
      </c>
      <c r="B128" s="1" t="s">
        <v>61</v>
      </c>
      <c r="C128">
        <v>22119</v>
      </c>
    </row>
    <row r="129" spans="1:3" x14ac:dyDescent="0.25">
      <c r="A129" t="s">
        <v>19</v>
      </c>
      <c r="B129" s="1" t="s">
        <v>61</v>
      </c>
      <c r="C129">
        <v>20451</v>
      </c>
    </row>
    <row r="130" spans="1:3" x14ac:dyDescent="0.25">
      <c r="A130" t="s">
        <v>20</v>
      </c>
      <c r="B130" s="1" t="s">
        <v>61</v>
      </c>
      <c r="C130">
        <v>44446</v>
      </c>
    </row>
    <row r="131" spans="1:3" x14ac:dyDescent="0.25">
      <c r="A131" t="s">
        <v>21</v>
      </c>
      <c r="B131" s="1" t="s">
        <v>61</v>
      </c>
      <c r="C131">
        <v>35109</v>
      </c>
    </row>
    <row r="132" spans="1:3" x14ac:dyDescent="0.25">
      <c r="A132" t="s">
        <v>22</v>
      </c>
      <c r="B132" s="1" t="s">
        <v>61</v>
      </c>
      <c r="C132">
        <v>24310</v>
      </c>
    </row>
    <row r="133" spans="1:3" x14ac:dyDescent="0.25">
      <c r="A133" t="s">
        <v>23</v>
      </c>
      <c r="B133" s="1" t="s">
        <v>61</v>
      </c>
      <c r="C133">
        <v>26140</v>
      </c>
    </row>
    <row r="134" spans="1:3" x14ac:dyDescent="0.25">
      <c r="A134" t="s">
        <v>24</v>
      </c>
      <c r="B134" s="1" t="s">
        <v>61</v>
      </c>
      <c r="C134">
        <v>49528</v>
      </c>
    </row>
    <row r="135" spans="1:3" x14ac:dyDescent="0.25">
      <c r="A135" t="s">
        <v>25</v>
      </c>
      <c r="B135" s="1" t="s">
        <v>61</v>
      </c>
      <c r="C135">
        <v>48559</v>
      </c>
    </row>
    <row r="136" spans="1:3" x14ac:dyDescent="0.25">
      <c r="A136" t="s">
        <v>26</v>
      </c>
      <c r="B136" s="1" t="s">
        <v>61</v>
      </c>
      <c r="C136">
        <v>22627</v>
      </c>
    </row>
    <row r="137" spans="1:3" x14ac:dyDescent="0.25">
      <c r="A137" t="s">
        <v>27</v>
      </c>
      <c r="B137" s="1" t="s">
        <v>61</v>
      </c>
      <c r="C137">
        <v>7174</v>
      </c>
    </row>
    <row r="138" spans="1:3" x14ac:dyDescent="0.25">
      <c r="A138" t="s">
        <v>28</v>
      </c>
      <c r="B138" s="1" t="s">
        <v>61</v>
      </c>
      <c r="C138">
        <v>99824</v>
      </c>
    </row>
    <row r="139" spans="1:3" x14ac:dyDescent="0.25">
      <c r="A139" t="s">
        <v>29</v>
      </c>
      <c r="B139" s="1" t="s">
        <v>61</v>
      </c>
      <c r="C139">
        <v>83613</v>
      </c>
    </row>
    <row r="140" spans="1:3" x14ac:dyDescent="0.25">
      <c r="A140" t="s">
        <v>30</v>
      </c>
      <c r="B140" s="1" t="s">
        <v>61</v>
      </c>
      <c r="C140">
        <v>70421</v>
      </c>
    </row>
    <row r="141" spans="1:3" x14ac:dyDescent="0.25">
      <c r="A141" t="s">
        <v>31</v>
      </c>
      <c r="B141" s="1" t="s">
        <v>61</v>
      </c>
      <c r="C141">
        <v>90094</v>
      </c>
    </row>
    <row r="142" spans="1:3" x14ac:dyDescent="0.25">
      <c r="A142" t="s">
        <v>32</v>
      </c>
      <c r="B142" s="1" t="s">
        <v>61</v>
      </c>
      <c r="C142">
        <v>112370</v>
      </c>
    </row>
    <row r="143" spans="1:3" x14ac:dyDescent="0.25">
      <c r="A143" t="s">
        <v>33</v>
      </c>
      <c r="B143" s="1" t="s">
        <v>61</v>
      </c>
      <c r="C143">
        <v>93676</v>
      </c>
    </row>
    <row r="144" spans="1:3" x14ac:dyDescent="0.25">
      <c r="A144" t="s">
        <v>34</v>
      </c>
      <c r="B144" s="1" t="s">
        <v>61</v>
      </c>
      <c r="C144">
        <v>69324</v>
      </c>
    </row>
    <row r="145" spans="1:3" x14ac:dyDescent="0.25">
      <c r="A145" t="s">
        <v>35</v>
      </c>
      <c r="B145" s="1" t="s">
        <v>61</v>
      </c>
      <c r="C145">
        <v>60892</v>
      </c>
    </row>
    <row r="146" spans="1:3" x14ac:dyDescent="0.25">
      <c r="A146" t="s">
        <v>36</v>
      </c>
      <c r="B146" s="1" t="s">
        <v>61</v>
      </c>
      <c r="C146">
        <v>63745</v>
      </c>
    </row>
    <row r="147" spans="1:3" x14ac:dyDescent="0.25">
      <c r="A147" t="s">
        <v>37</v>
      </c>
      <c r="B147" s="1" t="s">
        <v>61</v>
      </c>
      <c r="C147">
        <v>73787</v>
      </c>
    </row>
    <row r="148" spans="1:3" x14ac:dyDescent="0.25">
      <c r="A148" t="s">
        <v>38</v>
      </c>
      <c r="B148" s="1" t="s">
        <v>61</v>
      </c>
      <c r="C148">
        <v>31430</v>
      </c>
    </row>
    <row r="149" spans="1:3" x14ac:dyDescent="0.25">
      <c r="A149" t="s">
        <v>39</v>
      </c>
      <c r="B149" s="1" t="s">
        <v>61</v>
      </c>
      <c r="C149">
        <v>16480</v>
      </c>
    </row>
    <row r="150" spans="1:3" x14ac:dyDescent="0.25">
      <c r="A150" t="s">
        <v>40</v>
      </c>
      <c r="B150" s="1" t="s">
        <v>61</v>
      </c>
      <c r="C150">
        <v>71092</v>
      </c>
    </row>
    <row r="151" spans="1:3" x14ac:dyDescent="0.25">
      <c r="A151" t="s">
        <v>41</v>
      </c>
      <c r="B151" s="1" t="s">
        <v>61</v>
      </c>
      <c r="C151">
        <v>56008</v>
      </c>
    </row>
    <row r="152" spans="1:3" x14ac:dyDescent="0.25">
      <c r="A152" t="s">
        <v>42</v>
      </c>
      <c r="B152" s="1" t="s">
        <v>61</v>
      </c>
      <c r="C152">
        <v>10541</v>
      </c>
    </row>
    <row r="153" spans="1:3" x14ac:dyDescent="0.25">
      <c r="A153" t="s">
        <v>43</v>
      </c>
      <c r="B153" s="1" t="s">
        <v>61</v>
      </c>
      <c r="C153">
        <v>54091</v>
      </c>
    </row>
    <row r="154" spans="1:3" x14ac:dyDescent="0.25">
      <c r="A154" t="s">
        <v>44</v>
      </c>
      <c r="B154" s="1" t="s">
        <v>61</v>
      </c>
      <c r="C154">
        <v>76967</v>
      </c>
    </row>
    <row r="155" spans="1:3" x14ac:dyDescent="0.25">
      <c r="A155" t="s">
        <v>45</v>
      </c>
      <c r="B155" s="1" t="s">
        <v>61</v>
      </c>
      <c r="C155">
        <v>91341</v>
      </c>
    </row>
    <row r="156" spans="1:3" x14ac:dyDescent="0.25">
      <c r="A156" t="s">
        <v>46</v>
      </c>
      <c r="B156" s="1" t="s">
        <v>61</v>
      </c>
      <c r="C156">
        <v>54431</v>
      </c>
    </row>
    <row r="157" spans="1:3" x14ac:dyDescent="0.25">
      <c r="A157" t="s">
        <v>47</v>
      </c>
      <c r="B157" s="1" t="s">
        <v>61</v>
      </c>
      <c r="C157">
        <v>75741</v>
      </c>
    </row>
    <row r="158" spans="1:3" x14ac:dyDescent="0.25">
      <c r="A158" t="s">
        <v>48</v>
      </c>
      <c r="B158" s="1" t="s">
        <v>61</v>
      </c>
      <c r="C158">
        <v>29779</v>
      </c>
    </row>
    <row r="159" spans="1:3" x14ac:dyDescent="0.25">
      <c r="A159" t="s">
        <v>49</v>
      </c>
      <c r="B159" s="1" t="s">
        <v>61</v>
      </c>
      <c r="C159">
        <v>-115137</v>
      </c>
    </row>
    <row r="160" spans="1:3" x14ac:dyDescent="0.25">
      <c r="A160" t="s">
        <v>50</v>
      </c>
      <c r="B160" s="1" t="s">
        <v>61</v>
      </c>
      <c r="C160">
        <v>-41594</v>
      </c>
    </row>
    <row r="161" spans="1:3" x14ac:dyDescent="0.25">
      <c r="A161" t="s">
        <v>51</v>
      </c>
      <c r="B161" s="1" t="s">
        <v>61</v>
      </c>
      <c r="C161">
        <v>-35260</v>
      </c>
    </row>
    <row r="162" spans="1:3" x14ac:dyDescent="0.25">
      <c r="A162" t="s">
        <v>52</v>
      </c>
      <c r="B162" s="1" t="s">
        <v>61</v>
      </c>
      <c r="C162">
        <v>9309</v>
      </c>
    </row>
    <row r="163" spans="1:3" x14ac:dyDescent="0.25">
      <c r="A163" t="s">
        <v>53</v>
      </c>
      <c r="B163" s="1" t="s">
        <v>61</v>
      </c>
      <c r="C163">
        <v>97910</v>
      </c>
    </row>
    <row r="164" spans="1:3" x14ac:dyDescent="0.25">
      <c r="A164" t="s">
        <v>54</v>
      </c>
      <c r="B164" s="1" t="s">
        <v>61</v>
      </c>
      <c r="C164">
        <v>42398</v>
      </c>
    </row>
    <row r="165" spans="1:3" x14ac:dyDescent="0.25">
      <c r="A165" t="s">
        <v>55</v>
      </c>
      <c r="B165" s="1" t="s">
        <v>61</v>
      </c>
      <c r="C165">
        <v>15687</v>
      </c>
    </row>
    <row r="166" spans="1:3" x14ac:dyDescent="0.25">
      <c r="A166" t="s">
        <v>56</v>
      </c>
      <c r="B166" s="1" t="s">
        <v>61</v>
      </c>
      <c r="C166">
        <v>-1579</v>
      </c>
    </row>
    <row r="167" spans="1:3" x14ac:dyDescent="0.25">
      <c r="A167" t="s">
        <v>57</v>
      </c>
      <c r="B167" s="1" t="s">
        <v>61</v>
      </c>
      <c r="C167">
        <v>10784</v>
      </c>
    </row>
    <row r="168" spans="1:3" x14ac:dyDescent="0.25">
      <c r="A168" t="s">
        <v>58</v>
      </c>
      <c r="B168" s="1" t="s">
        <v>61</v>
      </c>
      <c r="C168">
        <v>-3902</v>
      </c>
    </row>
    <row r="169" spans="1:3" x14ac:dyDescent="0.25">
      <c r="A169" t="s">
        <v>59</v>
      </c>
      <c r="B169" s="1" t="s">
        <v>61</v>
      </c>
      <c r="C169">
        <v>61358</v>
      </c>
    </row>
    <row r="170" spans="1:3" x14ac:dyDescent="0.25">
      <c r="A170" t="s">
        <v>3</v>
      </c>
      <c r="B170" s="1" t="s">
        <v>62</v>
      </c>
      <c r="C170">
        <v>-515691</v>
      </c>
    </row>
    <row r="171" spans="1:3" x14ac:dyDescent="0.25">
      <c r="A171" t="s">
        <v>5</v>
      </c>
      <c r="B171" s="1" t="s">
        <v>62</v>
      </c>
      <c r="C171">
        <v>-264344</v>
      </c>
    </row>
    <row r="172" spans="1:3" x14ac:dyDescent="0.25">
      <c r="A172" t="s">
        <v>6</v>
      </c>
      <c r="B172" s="1" t="s">
        <v>62</v>
      </c>
      <c r="C172">
        <v>-87359</v>
      </c>
    </row>
    <row r="173" spans="1:3" x14ac:dyDescent="0.25">
      <c r="A173" t="s">
        <v>7</v>
      </c>
      <c r="B173" s="1" t="s">
        <v>62</v>
      </c>
      <c r="C173">
        <v>-47803</v>
      </c>
    </row>
    <row r="174" spans="1:3" x14ac:dyDescent="0.25">
      <c r="A174" t="s">
        <v>8</v>
      </c>
      <c r="B174" s="1" t="s">
        <v>62</v>
      </c>
      <c r="C174">
        <v>-260733</v>
      </c>
    </row>
    <row r="175" spans="1:3" x14ac:dyDescent="0.25">
      <c r="A175" t="s">
        <v>9</v>
      </c>
      <c r="B175" s="1" t="s">
        <v>62</v>
      </c>
      <c r="C175">
        <v>459576</v>
      </c>
    </row>
    <row r="176" spans="1:3" x14ac:dyDescent="0.25">
      <c r="A176" t="s">
        <v>10</v>
      </c>
      <c r="B176" s="1" t="s">
        <v>62</v>
      </c>
      <c r="C176">
        <v>388696</v>
      </c>
    </row>
    <row r="177" spans="1:3" x14ac:dyDescent="0.25">
      <c r="A177" t="s">
        <v>11</v>
      </c>
      <c r="B177" s="1" t="s">
        <v>62</v>
      </c>
      <c r="C177">
        <v>98451</v>
      </c>
    </row>
    <row r="178" spans="1:3" x14ac:dyDescent="0.25">
      <c r="A178" t="s">
        <v>12</v>
      </c>
      <c r="B178" s="1" t="s">
        <v>62</v>
      </c>
      <c r="C178">
        <v>-295020</v>
      </c>
    </row>
    <row r="179" spans="1:3" x14ac:dyDescent="0.25">
      <c r="A179" t="s">
        <v>13</v>
      </c>
      <c r="B179" s="1" t="s">
        <v>62</v>
      </c>
      <c r="C179">
        <v>235953</v>
      </c>
    </row>
    <row r="180" spans="1:3" x14ac:dyDescent="0.25">
      <c r="A180" t="s">
        <v>14</v>
      </c>
      <c r="B180" s="1" t="s">
        <v>62</v>
      </c>
      <c r="C180">
        <v>562182</v>
      </c>
    </row>
    <row r="181" spans="1:3" x14ac:dyDescent="0.25">
      <c r="A181" t="s">
        <v>15</v>
      </c>
      <c r="B181" s="1" t="s">
        <v>62</v>
      </c>
      <c r="C181">
        <v>475404</v>
      </c>
    </row>
    <row r="182" spans="1:3" x14ac:dyDescent="0.25">
      <c r="A182" t="s">
        <v>16</v>
      </c>
      <c r="B182" s="1" t="s">
        <v>62</v>
      </c>
      <c r="C182">
        <v>145841</v>
      </c>
    </row>
    <row r="183" spans="1:3" x14ac:dyDescent="0.25">
      <c r="A183" t="s">
        <v>17</v>
      </c>
      <c r="B183" s="1" t="s">
        <v>62</v>
      </c>
      <c r="C183">
        <v>-150721</v>
      </c>
    </row>
    <row r="184" spans="1:3" x14ac:dyDescent="0.25">
      <c r="A184" t="s">
        <v>18</v>
      </c>
      <c r="B184" s="1" t="s">
        <v>62</v>
      </c>
      <c r="C184">
        <v>1169931</v>
      </c>
    </row>
    <row r="185" spans="1:3" x14ac:dyDescent="0.25">
      <c r="A185" t="s">
        <v>19</v>
      </c>
      <c r="B185" s="1" t="s">
        <v>62</v>
      </c>
      <c r="C185">
        <v>-20422</v>
      </c>
    </row>
    <row r="186" spans="1:3" x14ac:dyDescent="0.25">
      <c r="A186" t="s">
        <v>20</v>
      </c>
      <c r="B186" s="1" t="s">
        <v>62</v>
      </c>
      <c r="C186">
        <v>6760</v>
      </c>
    </row>
    <row r="187" spans="1:3" x14ac:dyDescent="0.25">
      <c r="A187" t="s">
        <v>21</v>
      </c>
      <c r="B187" s="1" t="s">
        <v>62</v>
      </c>
      <c r="C187">
        <v>688701</v>
      </c>
    </row>
    <row r="188" spans="1:3" x14ac:dyDescent="0.25">
      <c r="A188" t="s">
        <v>22</v>
      </c>
      <c r="B188" s="1" t="s">
        <v>62</v>
      </c>
      <c r="C188">
        <v>1371648</v>
      </c>
    </row>
    <row r="189" spans="1:3" x14ac:dyDescent="0.25">
      <c r="A189" t="s">
        <v>23</v>
      </c>
      <c r="B189" s="1" t="s">
        <v>62</v>
      </c>
      <c r="C189">
        <v>8482125</v>
      </c>
    </row>
    <row r="190" spans="1:3" x14ac:dyDescent="0.25">
      <c r="A190" t="s">
        <v>24</v>
      </c>
      <c r="B190" s="1" t="s">
        <v>62</v>
      </c>
      <c r="C190">
        <v>218132</v>
      </c>
    </row>
    <row r="191" spans="1:3" x14ac:dyDescent="0.25">
      <c r="A191" t="s">
        <v>25</v>
      </c>
      <c r="B191" s="1" t="s">
        <v>62</v>
      </c>
      <c r="C191">
        <v>807422</v>
      </c>
    </row>
    <row r="192" spans="1:3" x14ac:dyDescent="0.25">
      <c r="A192" t="s">
        <v>26</v>
      </c>
      <c r="B192" s="1" t="s">
        <v>62</v>
      </c>
      <c r="C192">
        <v>361459</v>
      </c>
    </row>
    <row r="193" spans="1:3" x14ac:dyDescent="0.25">
      <c r="A193" t="s">
        <v>27</v>
      </c>
      <c r="B193" s="1" t="s">
        <v>62</v>
      </c>
      <c r="C193">
        <v>-702544</v>
      </c>
    </row>
    <row r="194" spans="1:3" x14ac:dyDescent="0.25">
      <c r="A194" t="s">
        <v>28</v>
      </c>
      <c r="B194" s="1" t="s">
        <v>62</v>
      </c>
      <c r="C194">
        <v>744504</v>
      </c>
    </row>
    <row r="195" spans="1:3" x14ac:dyDescent="0.25">
      <c r="A195" t="s">
        <v>29</v>
      </c>
      <c r="B195" s="1" t="s">
        <v>62</v>
      </c>
      <c r="C195">
        <v>1487293</v>
      </c>
    </row>
    <row r="196" spans="1:3" x14ac:dyDescent="0.25">
      <c r="A196" t="s">
        <v>30</v>
      </c>
      <c r="B196" s="1" t="s">
        <v>62</v>
      </c>
      <c r="C196">
        <v>1319219</v>
      </c>
    </row>
    <row r="197" spans="1:3" x14ac:dyDescent="0.25">
      <c r="A197" t="s">
        <v>31</v>
      </c>
      <c r="B197" s="1" t="s">
        <v>62</v>
      </c>
      <c r="C197">
        <v>987477</v>
      </c>
    </row>
    <row r="198" spans="1:3" x14ac:dyDescent="0.25">
      <c r="A198" t="s">
        <v>32</v>
      </c>
      <c r="B198" s="1" t="s">
        <v>62</v>
      </c>
      <c r="C198">
        <v>955182</v>
      </c>
    </row>
    <row r="199" spans="1:3" x14ac:dyDescent="0.25">
      <c r="A199" t="s">
        <v>33</v>
      </c>
      <c r="B199" s="1" t="s">
        <v>62</v>
      </c>
      <c r="C199">
        <v>1552513</v>
      </c>
    </row>
    <row r="200" spans="1:3" x14ac:dyDescent="0.25">
      <c r="A200" t="s">
        <v>34</v>
      </c>
      <c r="B200" s="1" t="s">
        <v>62</v>
      </c>
      <c r="C200">
        <v>1269304</v>
      </c>
    </row>
    <row r="201" spans="1:3" x14ac:dyDescent="0.25">
      <c r="A201" t="s">
        <v>35</v>
      </c>
      <c r="B201" s="1" t="s">
        <v>62</v>
      </c>
      <c r="C201">
        <v>632847</v>
      </c>
    </row>
    <row r="202" spans="1:3" x14ac:dyDescent="0.25">
      <c r="A202" t="s">
        <v>36</v>
      </c>
      <c r="B202" s="1" t="s">
        <v>62</v>
      </c>
      <c r="C202">
        <v>615913</v>
      </c>
    </row>
    <row r="203" spans="1:3" x14ac:dyDescent="0.25">
      <c r="A203" t="s">
        <v>37</v>
      </c>
      <c r="B203" s="1" t="s">
        <v>62</v>
      </c>
      <c r="C203">
        <v>1235513</v>
      </c>
    </row>
    <row r="204" spans="1:3" x14ac:dyDescent="0.25">
      <c r="A204" t="s">
        <v>38</v>
      </c>
      <c r="B204" s="1" t="s">
        <v>62</v>
      </c>
      <c r="C204">
        <v>1191398</v>
      </c>
    </row>
    <row r="205" spans="1:3" x14ac:dyDescent="0.25">
      <c r="A205" t="s">
        <v>39</v>
      </c>
      <c r="B205" s="1" t="s">
        <v>62</v>
      </c>
      <c r="C205">
        <v>591546</v>
      </c>
    </row>
    <row r="206" spans="1:3" x14ac:dyDescent="0.25">
      <c r="A206" t="s">
        <v>40</v>
      </c>
      <c r="B206" s="1" t="s">
        <v>62</v>
      </c>
      <c r="C206">
        <v>583855</v>
      </c>
    </row>
    <row r="207" spans="1:3" x14ac:dyDescent="0.25">
      <c r="A207" t="s">
        <v>41</v>
      </c>
      <c r="B207" s="1" t="s">
        <v>62</v>
      </c>
      <c r="C207">
        <v>1017742</v>
      </c>
    </row>
    <row r="208" spans="1:3" x14ac:dyDescent="0.25">
      <c r="A208" t="s">
        <v>42</v>
      </c>
      <c r="B208" s="1" t="s">
        <v>62</v>
      </c>
      <c r="C208">
        <v>1275703</v>
      </c>
    </row>
    <row r="209" spans="1:3" x14ac:dyDescent="0.25">
      <c r="A209" t="s">
        <v>43</v>
      </c>
      <c r="B209" s="1" t="s">
        <v>62</v>
      </c>
      <c r="C209">
        <v>1008335</v>
      </c>
    </row>
    <row r="210" spans="1:3" x14ac:dyDescent="0.25">
      <c r="A210" t="s">
        <v>44</v>
      </c>
      <c r="B210" s="1" t="s">
        <v>62</v>
      </c>
      <c r="C210">
        <v>747733</v>
      </c>
    </row>
    <row r="211" spans="1:3" x14ac:dyDescent="0.25">
      <c r="A211" t="s">
        <v>45</v>
      </c>
      <c r="B211" s="1" t="s">
        <v>62</v>
      </c>
      <c r="C211">
        <v>1407178</v>
      </c>
    </row>
    <row r="212" spans="1:3" x14ac:dyDescent="0.25">
      <c r="A212" t="s">
        <v>46</v>
      </c>
      <c r="B212" s="1" t="s">
        <v>62</v>
      </c>
      <c r="C212">
        <v>1493988</v>
      </c>
    </row>
    <row r="213" spans="1:3" x14ac:dyDescent="0.25">
      <c r="A213" t="s">
        <v>47</v>
      </c>
      <c r="B213" s="1" t="s">
        <v>62</v>
      </c>
      <c r="C213">
        <v>1121021</v>
      </c>
    </row>
    <row r="214" spans="1:3" x14ac:dyDescent="0.25">
      <c r="A214" t="s">
        <v>48</v>
      </c>
      <c r="B214" s="1" t="s">
        <v>62</v>
      </c>
      <c r="C214">
        <v>-511355</v>
      </c>
    </row>
    <row r="215" spans="1:3" x14ac:dyDescent="0.25">
      <c r="A215" t="s">
        <v>49</v>
      </c>
      <c r="B215" s="1" t="s">
        <v>62</v>
      </c>
      <c r="C215">
        <v>-5691876</v>
      </c>
    </row>
    <row r="216" spans="1:3" x14ac:dyDescent="0.25">
      <c r="A216" t="s">
        <v>50</v>
      </c>
      <c r="B216" s="1" t="s">
        <v>62</v>
      </c>
      <c r="C216">
        <v>-5381342</v>
      </c>
    </row>
    <row r="217" spans="1:3" x14ac:dyDescent="0.25">
      <c r="A217" t="s">
        <v>51</v>
      </c>
      <c r="B217" s="1" t="s">
        <v>62</v>
      </c>
      <c r="C217">
        <v>-792997</v>
      </c>
    </row>
    <row r="218" spans="1:3" x14ac:dyDescent="0.25">
      <c r="A218" t="s">
        <v>52</v>
      </c>
      <c r="B218" s="1" t="s">
        <v>62</v>
      </c>
      <c r="C218">
        <v>-1181408</v>
      </c>
    </row>
    <row r="219" spans="1:3" x14ac:dyDescent="0.25">
      <c r="A219" t="s">
        <v>53</v>
      </c>
      <c r="B219" s="1" t="s">
        <v>62</v>
      </c>
      <c r="C219">
        <v>641091</v>
      </c>
    </row>
    <row r="220" spans="1:3" x14ac:dyDescent="0.25">
      <c r="A220" t="s">
        <v>54</v>
      </c>
      <c r="B220" s="1" t="s">
        <v>62</v>
      </c>
      <c r="C220">
        <v>1196545</v>
      </c>
    </row>
    <row r="221" spans="1:3" x14ac:dyDescent="0.25">
      <c r="A221" t="s">
        <v>55</v>
      </c>
      <c r="B221" s="1" t="s">
        <v>62</v>
      </c>
      <c r="C221">
        <v>-373073</v>
      </c>
    </row>
    <row r="222" spans="1:3" x14ac:dyDescent="0.25">
      <c r="A222" t="s">
        <v>56</v>
      </c>
      <c r="B222" s="1" t="s">
        <v>62</v>
      </c>
      <c r="C222">
        <v>-905584</v>
      </c>
    </row>
    <row r="223" spans="1:3" x14ac:dyDescent="0.25">
      <c r="A223" t="s">
        <v>57</v>
      </c>
      <c r="B223" s="1" t="s">
        <v>62</v>
      </c>
      <c r="C223">
        <v>798789</v>
      </c>
    </row>
    <row r="224" spans="1:3" x14ac:dyDescent="0.25">
      <c r="A224" t="s">
        <v>58</v>
      </c>
      <c r="B224" s="1" t="s">
        <v>62</v>
      </c>
      <c r="C224">
        <v>759316</v>
      </c>
    </row>
    <row r="225" spans="1:3" x14ac:dyDescent="0.25">
      <c r="A225" t="s">
        <v>59</v>
      </c>
      <c r="B225" s="1" t="s">
        <v>62</v>
      </c>
      <c r="C225">
        <v>927752</v>
      </c>
    </row>
    <row r="226" spans="1:3" x14ac:dyDescent="0.25">
      <c r="A226" t="s">
        <v>3</v>
      </c>
      <c r="B226" s="1" t="s">
        <v>63</v>
      </c>
      <c r="C226">
        <v>-380446</v>
      </c>
    </row>
    <row r="227" spans="1:3" x14ac:dyDescent="0.25">
      <c r="A227" t="s">
        <v>5</v>
      </c>
      <c r="B227" s="1" t="s">
        <v>63</v>
      </c>
      <c r="C227">
        <v>30782</v>
      </c>
    </row>
    <row r="228" spans="1:3" x14ac:dyDescent="0.25">
      <c r="A228" t="s">
        <v>6</v>
      </c>
      <c r="B228" s="1" t="s">
        <v>63</v>
      </c>
      <c r="C228">
        <v>-54342</v>
      </c>
    </row>
    <row r="229" spans="1:3" x14ac:dyDescent="0.25">
      <c r="A229" t="s">
        <v>7</v>
      </c>
      <c r="B229" s="1" t="s">
        <v>63</v>
      </c>
      <c r="C229">
        <v>-224113</v>
      </c>
    </row>
    <row r="230" spans="1:3" x14ac:dyDescent="0.25">
      <c r="A230" t="s">
        <v>8</v>
      </c>
      <c r="B230" s="1" t="s">
        <v>63</v>
      </c>
      <c r="C230">
        <v>-74098</v>
      </c>
    </row>
    <row r="231" spans="1:3" x14ac:dyDescent="0.25">
      <c r="A231" t="s">
        <v>9</v>
      </c>
      <c r="B231" s="1" t="s">
        <v>63</v>
      </c>
      <c r="C231">
        <v>280790</v>
      </c>
    </row>
    <row r="232" spans="1:3" x14ac:dyDescent="0.25">
      <c r="A232" t="s">
        <v>10</v>
      </c>
      <c r="B232" s="1" t="s">
        <v>63</v>
      </c>
      <c r="C232">
        <v>402531</v>
      </c>
    </row>
    <row r="233" spans="1:3" x14ac:dyDescent="0.25">
      <c r="A233" t="s">
        <v>11</v>
      </c>
      <c r="B233" s="1" t="s">
        <v>63</v>
      </c>
      <c r="C233">
        <v>-207625</v>
      </c>
    </row>
    <row r="234" spans="1:3" x14ac:dyDescent="0.25">
      <c r="A234" t="s">
        <v>12</v>
      </c>
      <c r="B234" s="1" t="s">
        <v>63</v>
      </c>
      <c r="C234">
        <v>-159711</v>
      </c>
    </row>
    <row r="235" spans="1:3" x14ac:dyDescent="0.25">
      <c r="A235" t="s">
        <v>13</v>
      </c>
      <c r="B235" s="1" t="s">
        <v>63</v>
      </c>
      <c r="C235">
        <v>281883</v>
      </c>
    </row>
    <row r="236" spans="1:3" x14ac:dyDescent="0.25">
      <c r="A236" t="s">
        <v>14</v>
      </c>
      <c r="B236" s="1" t="s">
        <v>63</v>
      </c>
      <c r="C236">
        <v>414480</v>
      </c>
    </row>
    <row r="237" spans="1:3" x14ac:dyDescent="0.25">
      <c r="A237" t="s">
        <v>15</v>
      </c>
      <c r="B237" s="1" t="s">
        <v>63</v>
      </c>
      <c r="C237">
        <v>-254571</v>
      </c>
    </row>
    <row r="238" spans="1:3" x14ac:dyDescent="0.25">
      <c r="A238" t="s">
        <v>16</v>
      </c>
      <c r="B238" s="1" t="s">
        <v>63</v>
      </c>
      <c r="C238">
        <v>-431097</v>
      </c>
    </row>
    <row r="239" spans="1:3" x14ac:dyDescent="0.25">
      <c r="A239" t="s">
        <v>17</v>
      </c>
      <c r="B239" s="1" t="s">
        <v>63</v>
      </c>
      <c r="C239">
        <v>369559</v>
      </c>
    </row>
    <row r="240" spans="1:3" x14ac:dyDescent="0.25">
      <c r="A240" t="s">
        <v>18</v>
      </c>
      <c r="B240" s="1" t="s">
        <v>63</v>
      </c>
      <c r="C240">
        <v>-25106</v>
      </c>
    </row>
    <row r="241" spans="1:3" x14ac:dyDescent="0.25">
      <c r="A241" t="s">
        <v>19</v>
      </c>
      <c r="B241" s="1" t="s">
        <v>63</v>
      </c>
      <c r="C241">
        <v>-574336</v>
      </c>
    </row>
    <row r="242" spans="1:3" x14ac:dyDescent="0.25">
      <c r="A242" t="s">
        <v>20</v>
      </c>
      <c r="B242" s="1" t="s">
        <v>63</v>
      </c>
      <c r="C242">
        <v>-361526</v>
      </c>
    </row>
    <row r="243" spans="1:3" x14ac:dyDescent="0.25">
      <c r="A243" t="s">
        <v>21</v>
      </c>
      <c r="B243" s="1" t="s">
        <v>63</v>
      </c>
      <c r="C243">
        <v>484017</v>
      </c>
    </row>
    <row r="244" spans="1:3" x14ac:dyDescent="0.25">
      <c r="A244" t="s">
        <v>22</v>
      </c>
      <c r="B244" s="1" t="s">
        <v>63</v>
      </c>
      <c r="C244">
        <v>377383</v>
      </c>
    </row>
    <row r="245" spans="1:3" x14ac:dyDescent="0.25">
      <c r="A245" t="s">
        <v>23</v>
      </c>
      <c r="B245" s="1" t="s">
        <v>63</v>
      </c>
      <c r="C245">
        <v>154178</v>
      </c>
    </row>
    <row r="246" spans="1:3" x14ac:dyDescent="0.25">
      <c r="A246" t="s">
        <v>24</v>
      </c>
      <c r="B246" s="1" t="s">
        <v>63</v>
      </c>
      <c r="C246">
        <v>-579988</v>
      </c>
    </row>
    <row r="247" spans="1:3" x14ac:dyDescent="0.25">
      <c r="A247" t="s">
        <v>25</v>
      </c>
      <c r="B247" s="1" t="s">
        <v>63</v>
      </c>
      <c r="C247">
        <v>769231</v>
      </c>
    </row>
    <row r="248" spans="1:3" x14ac:dyDescent="0.25">
      <c r="A248" t="s">
        <v>26</v>
      </c>
      <c r="B248" s="1" t="s">
        <v>63</v>
      </c>
      <c r="C248">
        <v>933236</v>
      </c>
    </row>
    <row r="249" spans="1:3" x14ac:dyDescent="0.25">
      <c r="A249" t="s">
        <v>27</v>
      </c>
      <c r="B249" s="1" t="s">
        <v>63</v>
      </c>
      <c r="C249">
        <v>-8662</v>
      </c>
    </row>
    <row r="250" spans="1:3" x14ac:dyDescent="0.25">
      <c r="A250" t="s">
        <v>28</v>
      </c>
      <c r="B250" s="1" t="s">
        <v>63</v>
      </c>
      <c r="C250">
        <v>509296</v>
      </c>
    </row>
    <row r="251" spans="1:3" x14ac:dyDescent="0.25">
      <c r="A251" t="s">
        <v>29</v>
      </c>
      <c r="B251" s="1" t="s">
        <v>63</v>
      </c>
      <c r="C251">
        <v>1192981</v>
      </c>
    </row>
    <row r="252" spans="1:3" x14ac:dyDescent="0.25">
      <c r="A252" t="s">
        <v>30</v>
      </c>
      <c r="B252" s="1" t="s">
        <v>63</v>
      </c>
      <c r="C252">
        <v>4775505</v>
      </c>
    </row>
    <row r="253" spans="1:3" x14ac:dyDescent="0.25">
      <c r="A253" t="s">
        <v>31</v>
      </c>
      <c r="B253" s="1" t="s">
        <v>63</v>
      </c>
      <c r="C253">
        <v>823605</v>
      </c>
    </row>
    <row r="254" spans="1:3" x14ac:dyDescent="0.25">
      <c r="A254" t="s">
        <v>32</v>
      </c>
      <c r="B254" s="1" t="s">
        <v>63</v>
      </c>
      <c r="C254">
        <v>313862</v>
      </c>
    </row>
    <row r="255" spans="1:3" x14ac:dyDescent="0.25">
      <c r="A255" t="s">
        <v>33</v>
      </c>
      <c r="B255" s="1" t="s">
        <v>63</v>
      </c>
      <c r="C255">
        <v>588122</v>
      </c>
    </row>
    <row r="256" spans="1:3" x14ac:dyDescent="0.25">
      <c r="A256" t="s">
        <v>34</v>
      </c>
      <c r="B256" s="1" t="s">
        <v>63</v>
      </c>
      <c r="C256">
        <v>965010</v>
      </c>
    </row>
    <row r="257" spans="1:3" x14ac:dyDescent="0.25">
      <c r="A257" t="s">
        <v>35</v>
      </c>
      <c r="B257" s="1" t="s">
        <v>63</v>
      </c>
      <c r="C257">
        <v>396936</v>
      </c>
    </row>
    <row r="258" spans="1:3" x14ac:dyDescent="0.25">
      <c r="A258" t="s">
        <v>36</v>
      </c>
      <c r="B258" s="1" t="s">
        <v>63</v>
      </c>
      <c r="C258">
        <v>96745</v>
      </c>
    </row>
    <row r="259" spans="1:3" x14ac:dyDescent="0.25">
      <c r="A259" t="s">
        <v>37</v>
      </c>
      <c r="B259" s="1" t="s">
        <v>63</v>
      </c>
      <c r="C259">
        <v>818180</v>
      </c>
    </row>
    <row r="260" spans="1:3" x14ac:dyDescent="0.25">
      <c r="A260" t="s">
        <v>38</v>
      </c>
      <c r="B260" s="1" t="s">
        <v>63</v>
      </c>
      <c r="C260">
        <v>637510</v>
      </c>
    </row>
    <row r="261" spans="1:3" x14ac:dyDescent="0.25">
      <c r="A261" t="s">
        <v>39</v>
      </c>
      <c r="B261" s="1" t="s">
        <v>63</v>
      </c>
      <c r="C261">
        <v>596853</v>
      </c>
    </row>
    <row r="262" spans="1:3" x14ac:dyDescent="0.25">
      <c r="A262" t="s">
        <v>40</v>
      </c>
      <c r="B262" s="1" t="s">
        <v>63</v>
      </c>
      <c r="C262">
        <v>147098</v>
      </c>
    </row>
    <row r="263" spans="1:3" x14ac:dyDescent="0.25">
      <c r="A263" t="s">
        <v>41</v>
      </c>
      <c r="B263" s="1" t="s">
        <v>63</v>
      </c>
      <c r="C263">
        <v>684133</v>
      </c>
    </row>
    <row r="264" spans="1:3" x14ac:dyDescent="0.25">
      <c r="A264" t="s">
        <v>42</v>
      </c>
      <c r="B264" s="1" t="s">
        <v>63</v>
      </c>
      <c r="C264">
        <v>836361</v>
      </c>
    </row>
    <row r="265" spans="1:3" x14ac:dyDescent="0.25">
      <c r="A265" t="s">
        <v>43</v>
      </c>
      <c r="B265" s="1" t="s">
        <v>63</v>
      </c>
      <c r="C265">
        <v>463487</v>
      </c>
    </row>
    <row r="266" spans="1:3" x14ac:dyDescent="0.25">
      <c r="A266" t="s">
        <v>44</v>
      </c>
      <c r="B266" s="1" t="s">
        <v>63</v>
      </c>
      <c r="C266">
        <v>292760</v>
      </c>
    </row>
    <row r="267" spans="1:3" x14ac:dyDescent="0.25">
      <c r="A267" t="s">
        <v>45</v>
      </c>
      <c r="B267" s="1" t="s">
        <v>63</v>
      </c>
      <c r="C267">
        <v>1051939</v>
      </c>
    </row>
    <row r="268" spans="1:3" x14ac:dyDescent="0.25">
      <c r="A268" t="s">
        <v>46</v>
      </c>
      <c r="B268" s="1" t="s">
        <v>63</v>
      </c>
      <c r="C268">
        <v>1023959</v>
      </c>
    </row>
    <row r="269" spans="1:3" x14ac:dyDescent="0.25">
      <c r="A269" t="s">
        <v>47</v>
      </c>
      <c r="B269" s="1" t="s">
        <v>63</v>
      </c>
      <c r="C269">
        <v>642351</v>
      </c>
    </row>
    <row r="270" spans="1:3" x14ac:dyDescent="0.25">
      <c r="A270" t="s">
        <v>48</v>
      </c>
      <c r="B270" s="1" t="s">
        <v>63</v>
      </c>
      <c r="C270">
        <v>-1704038</v>
      </c>
    </row>
    <row r="271" spans="1:3" x14ac:dyDescent="0.25">
      <c r="A271" t="s">
        <v>49</v>
      </c>
      <c r="B271" s="1" t="s">
        <v>63</v>
      </c>
      <c r="C271">
        <v>-1625896</v>
      </c>
    </row>
    <row r="272" spans="1:3" x14ac:dyDescent="0.25">
      <c r="A272" t="s">
        <v>50</v>
      </c>
      <c r="B272" s="1" t="s">
        <v>63</v>
      </c>
      <c r="C272">
        <v>-1841017</v>
      </c>
    </row>
    <row r="273" spans="1:3" x14ac:dyDescent="0.25">
      <c r="A273" t="s">
        <v>51</v>
      </c>
      <c r="B273" s="1" t="s">
        <v>63</v>
      </c>
      <c r="C273">
        <v>-1896466</v>
      </c>
    </row>
    <row r="274" spans="1:3" x14ac:dyDescent="0.25">
      <c r="A274" t="s">
        <v>52</v>
      </c>
      <c r="B274" s="1" t="s">
        <v>63</v>
      </c>
      <c r="C274">
        <v>-1356728</v>
      </c>
    </row>
    <row r="275" spans="1:3" x14ac:dyDescent="0.25">
      <c r="A275" t="s">
        <v>53</v>
      </c>
      <c r="B275" s="1" t="s">
        <v>63</v>
      </c>
      <c r="C275">
        <v>-433825</v>
      </c>
    </row>
    <row r="276" spans="1:3" x14ac:dyDescent="0.25">
      <c r="A276" t="s">
        <v>54</v>
      </c>
      <c r="B276" s="1" t="s">
        <v>63</v>
      </c>
      <c r="C276">
        <v>473256</v>
      </c>
    </row>
    <row r="277" spans="1:3" x14ac:dyDescent="0.25">
      <c r="A277" t="s">
        <v>55</v>
      </c>
      <c r="B277" s="1" t="s">
        <v>63</v>
      </c>
      <c r="C277">
        <v>-645183</v>
      </c>
    </row>
    <row r="278" spans="1:3" x14ac:dyDescent="0.25">
      <c r="A278" t="s">
        <v>56</v>
      </c>
      <c r="B278" s="1" t="s">
        <v>63</v>
      </c>
      <c r="C278">
        <v>-1377168</v>
      </c>
    </row>
    <row r="279" spans="1:3" x14ac:dyDescent="0.25">
      <c r="A279" t="s">
        <v>57</v>
      </c>
      <c r="B279" s="1" t="s">
        <v>63</v>
      </c>
      <c r="C279">
        <v>329940</v>
      </c>
    </row>
    <row r="280" spans="1:3" x14ac:dyDescent="0.25">
      <c r="A280" t="s">
        <v>58</v>
      </c>
      <c r="B280" s="1" t="s">
        <v>63</v>
      </c>
      <c r="C280">
        <v>942051</v>
      </c>
    </row>
    <row r="281" spans="1:3" x14ac:dyDescent="0.25">
      <c r="A281" t="s">
        <v>59</v>
      </c>
      <c r="B281" s="1" t="s">
        <v>63</v>
      </c>
      <c r="C281">
        <v>844356</v>
      </c>
    </row>
    <row r="282" spans="1:3" x14ac:dyDescent="0.25">
      <c r="A282" t="s">
        <v>3</v>
      </c>
      <c r="B282" s="1" t="s">
        <v>64</v>
      </c>
      <c r="C282">
        <v>-90959</v>
      </c>
    </row>
    <row r="283" spans="1:3" x14ac:dyDescent="0.25">
      <c r="A283" t="s">
        <v>5</v>
      </c>
      <c r="B283" s="1" t="s">
        <v>64</v>
      </c>
      <c r="C283">
        <v>90720</v>
      </c>
    </row>
    <row r="284" spans="1:3" x14ac:dyDescent="0.25">
      <c r="A284" t="s">
        <v>6</v>
      </c>
      <c r="B284" s="1" t="s">
        <v>64</v>
      </c>
      <c r="C284">
        <v>-16179</v>
      </c>
    </row>
    <row r="285" spans="1:3" x14ac:dyDescent="0.25">
      <c r="A285" t="s">
        <v>7</v>
      </c>
      <c r="B285" s="1" t="s">
        <v>64</v>
      </c>
      <c r="C285">
        <v>115790</v>
      </c>
    </row>
    <row r="286" spans="1:3" x14ac:dyDescent="0.25">
      <c r="A286" t="s">
        <v>8</v>
      </c>
      <c r="B286" s="1" t="s">
        <v>64</v>
      </c>
      <c r="C286">
        <v>10788</v>
      </c>
    </row>
    <row r="287" spans="1:3" x14ac:dyDescent="0.25">
      <c r="A287" t="s">
        <v>9</v>
      </c>
      <c r="B287" s="1" t="s">
        <v>64</v>
      </c>
      <c r="C287">
        <v>112214</v>
      </c>
    </row>
    <row r="288" spans="1:3" x14ac:dyDescent="0.25">
      <c r="A288" t="s">
        <v>10</v>
      </c>
      <c r="B288" s="1" t="s">
        <v>64</v>
      </c>
      <c r="C288">
        <v>204670</v>
      </c>
    </row>
    <row r="289" spans="1:3" x14ac:dyDescent="0.25">
      <c r="A289" t="s">
        <v>11</v>
      </c>
      <c r="B289" s="1" t="s">
        <v>64</v>
      </c>
      <c r="C289">
        <v>131236</v>
      </c>
    </row>
    <row r="290" spans="1:3" x14ac:dyDescent="0.25">
      <c r="A290" t="s">
        <v>12</v>
      </c>
      <c r="B290" s="1" t="s">
        <v>64</v>
      </c>
      <c r="C290">
        <v>4854</v>
      </c>
    </row>
    <row r="291" spans="1:3" x14ac:dyDescent="0.25">
      <c r="A291" t="s">
        <v>13</v>
      </c>
      <c r="B291" s="1" t="s">
        <v>64</v>
      </c>
      <c r="C291">
        <v>187604</v>
      </c>
    </row>
    <row r="292" spans="1:3" x14ac:dyDescent="0.25">
      <c r="A292" t="s">
        <v>14</v>
      </c>
      <c r="B292" s="1" t="s">
        <v>64</v>
      </c>
      <c r="C292">
        <v>-142708</v>
      </c>
    </row>
    <row r="293" spans="1:3" x14ac:dyDescent="0.25">
      <c r="A293" t="s">
        <v>15</v>
      </c>
      <c r="B293" s="1" t="s">
        <v>64</v>
      </c>
      <c r="C293">
        <v>150912</v>
      </c>
    </row>
    <row r="294" spans="1:3" x14ac:dyDescent="0.25">
      <c r="A294" t="s">
        <v>16</v>
      </c>
      <c r="B294" s="1" t="s">
        <v>64</v>
      </c>
      <c r="C294">
        <v>108599</v>
      </c>
    </row>
    <row r="295" spans="1:3" x14ac:dyDescent="0.25">
      <c r="A295" t="s">
        <v>17</v>
      </c>
      <c r="B295" s="1" t="s">
        <v>64</v>
      </c>
      <c r="C295">
        <v>228340</v>
      </c>
    </row>
    <row r="296" spans="1:3" x14ac:dyDescent="0.25">
      <c r="A296" t="s">
        <v>18</v>
      </c>
      <c r="B296" s="1" t="s">
        <v>64</v>
      </c>
      <c r="C296">
        <v>16064</v>
      </c>
    </row>
    <row r="297" spans="1:3" x14ac:dyDescent="0.25">
      <c r="A297" t="s">
        <v>19</v>
      </c>
      <c r="B297" s="1" t="s">
        <v>64</v>
      </c>
      <c r="C297">
        <v>78305</v>
      </c>
    </row>
    <row r="298" spans="1:3" x14ac:dyDescent="0.25">
      <c r="A298" t="s">
        <v>20</v>
      </c>
      <c r="B298" s="1" t="s">
        <v>64</v>
      </c>
      <c r="C298">
        <v>58528</v>
      </c>
    </row>
    <row r="299" spans="1:3" x14ac:dyDescent="0.25">
      <c r="A299" t="s">
        <v>21</v>
      </c>
      <c r="B299" s="1" t="s">
        <v>64</v>
      </c>
      <c r="C299">
        <v>224025</v>
      </c>
    </row>
    <row r="300" spans="1:3" x14ac:dyDescent="0.25">
      <c r="A300" t="s">
        <v>22</v>
      </c>
      <c r="B300" s="1" t="s">
        <v>64</v>
      </c>
      <c r="C300">
        <v>259422</v>
      </c>
    </row>
    <row r="301" spans="1:3" x14ac:dyDescent="0.25">
      <c r="A301" t="s">
        <v>23</v>
      </c>
      <c r="B301" s="1" t="s">
        <v>64</v>
      </c>
      <c r="C301">
        <v>212494</v>
      </c>
    </row>
    <row r="302" spans="1:3" x14ac:dyDescent="0.25">
      <c r="A302" t="s">
        <v>24</v>
      </c>
      <c r="B302" s="1" t="s">
        <v>64</v>
      </c>
      <c r="C302">
        <v>152441</v>
      </c>
    </row>
    <row r="303" spans="1:3" x14ac:dyDescent="0.25">
      <c r="A303" t="s">
        <v>25</v>
      </c>
      <c r="B303" s="1" t="s">
        <v>64</v>
      </c>
      <c r="C303">
        <v>464994</v>
      </c>
    </row>
    <row r="304" spans="1:3" x14ac:dyDescent="0.25">
      <c r="A304" t="s">
        <v>26</v>
      </c>
      <c r="B304" s="1" t="s">
        <v>64</v>
      </c>
      <c r="C304">
        <v>328809</v>
      </c>
    </row>
    <row r="305" spans="1:3" x14ac:dyDescent="0.25">
      <c r="A305" t="s">
        <v>27</v>
      </c>
      <c r="B305" s="1" t="s">
        <v>64</v>
      </c>
      <c r="C305">
        <v>190257</v>
      </c>
    </row>
    <row r="306" spans="1:3" x14ac:dyDescent="0.25">
      <c r="A306" t="s">
        <v>28</v>
      </c>
      <c r="B306" s="1" t="s">
        <v>64</v>
      </c>
      <c r="C306">
        <v>452936</v>
      </c>
    </row>
    <row r="307" spans="1:3" x14ac:dyDescent="0.25">
      <c r="A307" t="s">
        <v>29</v>
      </c>
      <c r="B307" s="1" t="s">
        <v>64</v>
      </c>
      <c r="C307">
        <v>608030</v>
      </c>
    </row>
    <row r="308" spans="1:3" x14ac:dyDescent="0.25">
      <c r="A308" t="s">
        <v>30</v>
      </c>
      <c r="B308" s="1" t="s">
        <v>64</v>
      </c>
      <c r="C308">
        <v>584354</v>
      </c>
    </row>
    <row r="309" spans="1:3" x14ac:dyDescent="0.25">
      <c r="A309" t="s">
        <v>31</v>
      </c>
      <c r="B309" s="1" t="s">
        <v>64</v>
      </c>
      <c r="C309">
        <v>535958</v>
      </c>
    </row>
    <row r="310" spans="1:3" x14ac:dyDescent="0.25">
      <c r="A310" t="s">
        <v>32</v>
      </c>
      <c r="B310" s="1" t="s">
        <v>64</v>
      </c>
      <c r="C310">
        <v>511338</v>
      </c>
    </row>
    <row r="311" spans="1:3" x14ac:dyDescent="0.25">
      <c r="A311" t="s">
        <v>33</v>
      </c>
      <c r="B311" s="1" t="s">
        <v>64</v>
      </c>
      <c r="C311">
        <v>820063</v>
      </c>
    </row>
    <row r="312" spans="1:3" x14ac:dyDescent="0.25">
      <c r="A312" t="s">
        <v>34</v>
      </c>
      <c r="B312" s="1" t="s">
        <v>64</v>
      </c>
      <c r="C312">
        <v>388246</v>
      </c>
    </row>
    <row r="313" spans="1:3" x14ac:dyDescent="0.25">
      <c r="A313" t="s">
        <v>35</v>
      </c>
      <c r="B313" s="1" t="s">
        <v>64</v>
      </c>
      <c r="C313">
        <v>522340</v>
      </c>
    </row>
    <row r="314" spans="1:3" x14ac:dyDescent="0.25">
      <c r="A314" t="s">
        <v>36</v>
      </c>
      <c r="B314" s="1" t="s">
        <v>64</v>
      </c>
      <c r="C314">
        <v>351464</v>
      </c>
    </row>
    <row r="315" spans="1:3" x14ac:dyDescent="0.25">
      <c r="A315" t="s">
        <v>37</v>
      </c>
      <c r="B315" s="1" t="s">
        <v>64</v>
      </c>
      <c r="C315">
        <v>746032</v>
      </c>
    </row>
    <row r="316" spans="1:3" x14ac:dyDescent="0.25">
      <c r="A316" t="s">
        <v>38</v>
      </c>
      <c r="B316" s="1" t="s">
        <v>64</v>
      </c>
      <c r="C316">
        <v>502605</v>
      </c>
    </row>
    <row r="317" spans="1:3" x14ac:dyDescent="0.25">
      <c r="A317" t="s">
        <v>39</v>
      </c>
      <c r="B317" s="1" t="s">
        <v>64</v>
      </c>
      <c r="C317">
        <v>1888364</v>
      </c>
    </row>
    <row r="318" spans="1:3" x14ac:dyDescent="0.25">
      <c r="A318" t="s">
        <v>40</v>
      </c>
      <c r="B318" s="1" t="s">
        <v>64</v>
      </c>
      <c r="C318">
        <v>462596</v>
      </c>
    </row>
    <row r="319" spans="1:3" x14ac:dyDescent="0.25">
      <c r="A319" t="s">
        <v>41</v>
      </c>
      <c r="B319" s="1" t="s">
        <v>64</v>
      </c>
      <c r="C319">
        <v>732723</v>
      </c>
    </row>
    <row r="320" spans="1:3" x14ac:dyDescent="0.25">
      <c r="A320" t="s">
        <v>42</v>
      </c>
      <c r="B320" s="1" t="s">
        <v>64</v>
      </c>
      <c r="C320">
        <v>615460</v>
      </c>
    </row>
    <row r="321" spans="1:3" x14ac:dyDescent="0.25">
      <c r="A321" t="s">
        <v>43</v>
      </c>
      <c r="B321" s="1" t="s">
        <v>64</v>
      </c>
      <c r="C321">
        <v>654188</v>
      </c>
    </row>
    <row r="322" spans="1:3" x14ac:dyDescent="0.25">
      <c r="A322" t="s">
        <v>44</v>
      </c>
      <c r="B322" s="1" t="s">
        <v>64</v>
      </c>
      <c r="C322">
        <v>387114</v>
      </c>
    </row>
    <row r="323" spans="1:3" x14ac:dyDescent="0.25">
      <c r="A323" t="s">
        <v>45</v>
      </c>
      <c r="B323" s="1" t="s">
        <v>64</v>
      </c>
      <c r="C323">
        <v>740536</v>
      </c>
    </row>
    <row r="324" spans="1:3" x14ac:dyDescent="0.25">
      <c r="A324" t="s">
        <v>46</v>
      </c>
      <c r="B324" s="1" t="s">
        <v>64</v>
      </c>
      <c r="C324">
        <v>658875</v>
      </c>
    </row>
    <row r="325" spans="1:3" x14ac:dyDescent="0.25">
      <c r="A325" t="s">
        <v>47</v>
      </c>
      <c r="B325" s="1" t="s">
        <v>64</v>
      </c>
      <c r="C325">
        <v>513799</v>
      </c>
    </row>
    <row r="326" spans="1:3" x14ac:dyDescent="0.25">
      <c r="A326" t="s">
        <v>48</v>
      </c>
      <c r="B326" s="1" t="s">
        <v>64</v>
      </c>
      <c r="C326">
        <v>-94311</v>
      </c>
    </row>
    <row r="327" spans="1:3" x14ac:dyDescent="0.25">
      <c r="A327" t="s">
        <v>49</v>
      </c>
      <c r="B327" s="1" t="s">
        <v>64</v>
      </c>
      <c r="C327">
        <v>-914941</v>
      </c>
    </row>
    <row r="328" spans="1:3" x14ac:dyDescent="0.25">
      <c r="A328" t="s">
        <v>50</v>
      </c>
      <c r="B328" s="1" t="s">
        <v>64</v>
      </c>
      <c r="C328">
        <v>-1156653</v>
      </c>
    </row>
    <row r="329" spans="1:3" x14ac:dyDescent="0.25">
      <c r="A329" t="s">
        <v>51</v>
      </c>
      <c r="B329" s="1" t="s">
        <v>64</v>
      </c>
      <c r="C329">
        <v>-908410</v>
      </c>
    </row>
    <row r="330" spans="1:3" x14ac:dyDescent="0.25">
      <c r="A330" t="s">
        <v>52</v>
      </c>
      <c r="B330" s="1" t="s">
        <v>64</v>
      </c>
      <c r="C330">
        <v>115613</v>
      </c>
    </row>
    <row r="331" spans="1:3" x14ac:dyDescent="0.25">
      <c r="A331" t="s">
        <v>53</v>
      </c>
      <c r="B331" s="1" t="s">
        <v>64</v>
      </c>
      <c r="C331">
        <v>347738</v>
      </c>
    </row>
    <row r="332" spans="1:3" x14ac:dyDescent="0.25">
      <c r="A332" t="s">
        <v>54</v>
      </c>
      <c r="B332" s="1" t="s">
        <v>64</v>
      </c>
      <c r="C332">
        <v>445873</v>
      </c>
    </row>
    <row r="333" spans="1:3" x14ac:dyDescent="0.25">
      <c r="A333" t="s">
        <v>55</v>
      </c>
      <c r="B333" s="1" t="s">
        <v>64</v>
      </c>
      <c r="C333">
        <v>67711</v>
      </c>
    </row>
    <row r="334" spans="1:3" x14ac:dyDescent="0.25">
      <c r="A334" t="s">
        <v>56</v>
      </c>
      <c r="B334" s="1" t="s">
        <v>64</v>
      </c>
      <c r="C334">
        <v>-277849</v>
      </c>
    </row>
    <row r="335" spans="1:3" x14ac:dyDescent="0.25">
      <c r="A335" t="s">
        <v>57</v>
      </c>
      <c r="B335" s="1" t="s">
        <v>64</v>
      </c>
      <c r="C335">
        <v>760132</v>
      </c>
    </row>
    <row r="336" spans="1:3" x14ac:dyDescent="0.25">
      <c r="A336" t="s">
        <v>58</v>
      </c>
      <c r="B336" s="1" t="s">
        <v>64</v>
      </c>
      <c r="C336">
        <v>277063</v>
      </c>
    </row>
    <row r="337" spans="1:3" x14ac:dyDescent="0.25">
      <c r="A337" t="s">
        <v>59</v>
      </c>
      <c r="B337" s="1" t="s">
        <v>64</v>
      </c>
      <c r="C337">
        <v>-220192</v>
      </c>
    </row>
    <row r="338" spans="1:3" x14ac:dyDescent="0.25">
      <c r="A338" t="s">
        <v>3</v>
      </c>
      <c r="B338" s="1" t="s">
        <v>65</v>
      </c>
      <c r="C338">
        <v>11678</v>
      </c>
    </row>
    <row r="339" spans="1:3" x14ac:dyDescent="0.25">
      <c r="A339" t="s">
        <v>5</v>
      </c>
      <c r="B339" s="1" t="s">
        <v>65</v>
      </c>
      <c r="C339">
        <v>20495</v>
      </c>
    </row>
    <row r="340" spans="1:3" x14ac:dyDescent="0.25">
      <c r="A340" t="s">
        <v>6</v>
      </c>
      <c r="B340" s="1" t="s">
        <v>65</v>
      </c>
      <c r="C340">
        <v>14831</v>
      </c>
    </row>
    <row r="341" spans="1:3" x14ac:dyDescent="0.25">
      <c r="A341" t="s">
        <v>7</v>
      </c>
      <c r="B341" s="1" t="s">
        <v>65</v>
      </c>
      <c r="C341">
        <v>11456</v>
      </c>
    </row>
    <row r="342" spans="1:3" x14ac:dyDescent="0.25">
      <c r="A342" t="s">
        <v>8</v>
      </c>
      <c r="B342" s="1" t="s">
        <v>65</v>
      </c>
      <c r="C342">
        <v>-1398</v>
      </c>
    </row>
    <row r="343" spans="1:3" x14ac:dyDescent="0.25">
      <c r="A343" t="s">
        <v>9</v>
      </c>
      <c r="B343" s="1" t="s">
        <v>65</v>
      </c>
      <c r="C343">
        <v>30801</v>
      </c>
    </row>
    <row r="344" spans="1:3" x14ac:dyDescent="0.25">
      <c r="A344" t="s">
        <v>10</v>
      </c>
      <c r="B344" s="1" t="s">
        <v>65</v>
      </c>
      <c r="C344">
        <v>58209</v>
      </c>
    </row>
    <row r="345" spans="1:3" x14ac:dyDescent="0.25">
      <c r="A345" t="s">
        <v>11</v>
      </c>
      <c r="B345" s="1" t="s">
        <v>65</v>
      </c>
      <c r="C345">
        <v>9040</v>
      </c>
    </row>
    <row r="346" spans="1:3" x14ac:dyDescent="0.25">
      <c r="A346" t="s">
        <v>12</v>
      </c>
      <c r="B346" s="1" t="s">
        <v>65</v>
      </c>
      <c r="C346">
        <v>3364</v>
      </c>
    </row>
    <row r="347" spans="1:3" x14ac:dyDescent="0.25">
      <c r="A347" t="s">
        <v>13</v>
      </c>
      <c r="B347" s="1" t="s">
        <v>65</v>
      </c>
      <c r="C347">
        <v>25039</v>
      </c>
    </row>
    <row r="348" spans="1:3" x14ac:dyDescent="0.25">
      <c r="A348" t="s">
        <v>14</v>
      </c>
      <c r="B348" s="1" t="s">
        <v>65</v>
      </c>
      <c r="C348">
        <v>34298</v>
      </c>
    </row>
    <row r="349" spans="1:3" x14ac:dyDescent="0.25">
      <c r="A349" t="s">
        <v>15</v>
      </c>
      <c r="B349" s="1" t="s">
        <v>65</v>
      </c>
      <c r="C349">
        <v>23549</v>
      </c>
    </row>
    <row r="350" spans="1:3" x14ac:dyDescent="0.25">
      <c r="A350" t="s">
        <v>16</v>
      </c>
      <c r="B350" s="1" t="s">
        <v>65</v>
      </c>
      <c r="C350">
        <v>29673</v>
      </c>
    </row>
    <row r="351" spans="1:3" x14ac:dyDescent="0.25">
      <c r="A351" t="s">
        <v>17</v>
      </c>
      <c r="B351" s="1" t="s">
        <v>65</v>
      </c>
      <c r="C351">
        <v>52521</v>
      </c>
    </row>
    <row r="352" spans="1:3" x14ac:dyDescent="0.25">
      <c r="A352" t="s">
        <v>18</v>
      </c>
      <c r="B352" s="1" t="s">
        <v>65</v>
      </c>
      <c r="C352">
        <v>44288</v>
      </c>
    </row>
    <row r="353" spans="1:3" x14ac:dyDescent="0.25">
      <c r="A353" t="s">
        <v>19</v>
      </c>
      <c r="B353" s="1" t="s">
        <v>65</v>
      </c>
      <c r="C353">
        <v>803</v>
      </c>
    </row>
    <row r="354" spans="1:3" x14ac:dyDescent="0.25">
      <c r="A354" t="s">
        <v>20</v>
      </c>
      <c r="B354" s="1" t="s">
        <v>65</v>
      </c>
      <c r="C354">
        <v>13840</v>
      </c>
    </row>
    <row r="355" spans="1:3" x14ac:dyDescent="0.25">
      <c r="A355" t="s">
        <v>21</v>
      </c>
      <c r="B355" s="1" t="s">
        <v>65</v>
      </c>
      <c r="C355">
        <v>36352</v>
      </c>
    </row>
    <row r="356" spans="1:3" x14ac:dyDescent="0.25">
      <c r="A356" t="s">
        <v>22</v>
      </c>
      <c r="B356" s="1" t="s">
        <v>65</v>
      </c>
      <c r="C356">
        <v>70761</v>
      </c>
    </row>
    <row r="357" spans="1:3" x14ac:dyDescent="0.25">
      <c r="A357" t="s">
        <v>23</v>
      </c>
      <c r="B357" s="1" t="s">
        <v>65</v>
      </c>
      <c r="C357">
        <v>47014</v>
      </c>
    </row>
    <row r="358" spans="1:3" x14ac:dyDescent="0.25">
      <c r="A358" t="s">
        <v>24</v>
      </c>
      <c r="B358" s="1" t="s">
        <v>65</v>
      </c>
      <c r="C358">
        <v>-1200</v>
      </c>
    </row>
    <row r="359" spans="1:3" x14ac:dyDescent="0.25">
      <c r="A359" t="s">
        <v>25</v>
      </c>
      <c r="B359" s="1" t="s">
        <v>65</v>
      </c>
      <c r="C359">
        <v>230641</v>
      </c>
    </row>
    <row r="360" spans="1:3" x14ac:dyDescent="0.25">
      <c r="A360" t="s">
        <v>26</v>
      </c>
      <c r="B360" s="1" t="s">
        <v>65</v>
      </c>
      <c r="C360">
        <v>78801</v>
      </c>
    </row>
    <row r="361" spans="1:3" x14ac:dyDescent="0.25">
      <c r="A361" t="s">
        <v>27</v>
      </c>
      <c r="B361" s="1" t="s">
        <v>65</v>
      </c>
      <c r="C361">
        <v>87388</v>
      </c>
    </row>
    <row r="362" spans="1:3" x14ac:dyDescent="0.25">
      <c r="A362" t="s">
        <v>28</v>
      </c>
      <c r="B362" s="1" t="s">
        <v>65</v>
      </c>
      <c r="C362">
        <v>137003</v>
      </c>
    </row>
    <row r="363" spans="1:3" x14ac:dyDescent="0.25">
      <c r="A363" t="s">
        <v>29</v>
      </c>
      <c r="B363" s="1" t="s">
        <v>65</v>
      </c>
      <c r="C363">
        <v>151979</v>
      </c>
    </row>
    <row r="364" spans="1:3" x14ac:dyDescent="0.25">
      <c r="A364" t="s">
        <v>30</v>
      </c>
      <c r="B364" s="1" t="s">
        <v>65</v>
      </c>
      <c r="C364">
        <v>198103</v>
      </c>
    </row>
    <row r="365" spans="1:3" x14ac:dyDescent="0.25">
      <c r="A365" t="s">
        <v>31</v>
      </c>
      <c r="B365" s="1" t="s">
        <v>65</v>
      </c>
      <c r="C365">
        <v>190007</v>
      </c>
    </row>
    <row r="366" spans="1:3" x14ac:dyDescent="0.25">
      <c r="A366" t="s">
        <v>32</v>
      </c>
      <c r="B366" s="1" t="s">
        <v>65</v>
      </c>
      <c r="C366">
        <v>199459</v>
      </c>
    </row>
    <row r="367" spans="1:3" x14ac:dyDescent="0.25">
      <c r="A367" t="s">
        <v>33</v>
      </c>
      <c r="B367" s="1" t="s">
        <v>65</v>
      </c>
      <c r="C367">
        <v>180169</v>
      </c>
    </row>
    <row r="368" spans="1:3" x14ac:dyDescent="0.25">
      <c r="A368" t="s">
        <v>34</v>
      </c>
      <c r="B368" s="1" t="s">
        <v>65</v>
      </c>
      <c r="C368">
        <v>198980</v>
      </c>
    </row>
    <row r="369" spans="1:3" x14ac:dyDescent="0.25">
      <c r="A369" t="s">
        <v>35</v>
      </c>
      <c r="B369" s="1" t="s">
        <v>65</v>
      </c>
      <c r="C369">
        <v>180020</v>
      </c>
    </row>
    <row r="370" spans="1:3" x14ac:dyDescent="0.25">
      <c r="A370" t="s">
        <v>36</v>
      </c>
      <c r="B370" s="1" t="s">
        <v>65</v>
      </c>
      <c r="C370">
        <v>85276</v>
      </c>
    </row>
    <row r="371" spans="1:3" x14ac:dyDescent="0.25">
      <c r="A371" t="s">
        <v>37</v>
      </c>
      <c r="B371" s="1" t="s">
        <v>65</v>
      </c>
      <c r="C371">
        <v>210805</v>
      </c>
    </row>
    <row r="372" spans="1:3" x14ac:dyDescent="0.25">
      <c r="A372" t="s">
        <v>38</v>
      </c>
      <c r="B372" s="1" t="s">
        <v>65</v>
      </c>
      <c r="C372">
        <v>178785</v>
      </c>
    </row>
    <row r="373" spans="1:3" x14ac:dyDescent="0.25">
      <c r="A373" t="s">
        <v>39</v>
      </c>
      <c r="B373" s="1" t="s">
        <v>65</v>
      </c>
      <c r="C373">
        <v>672409</v>
      </c>
    </row>
    <row r="374" spans="1:3" x14ac:dyDescent="0.25">
      <c r="A374" t="s">
        <v>40</v>
      </c>
      <c r="B374" s="1" t="s">
        <v>65</v>
      </c>
      <c r="C374">
        <v>88322</v>
      </c>
    </row>
    <row r="375" spans="1:3" x14ac:dyDescent="0.25">
      <c r="A375" t="s">
        <v>41</v>
      </c>
      <c r="B375" s="1" t="s">
        <v>65</v>
      </c>
      <c r="C375">
        <v>-119892</v>
      </c>
    </row>
    <row r="376" spans="1:3" x14ac:dyDescent="0.25">
      <c r="A376" t="s">
        <v>42</v>
      </c>
      <c r="B376" s="1" t="s">
        <v>65</v>
      </c>
      <c r="C376">
        <v>50470</v>
      </c>
    </row>
    <row r="377" spans="1:3" x14ac:dyDescent="0.25">
      <c r="A377" t="s">
        <v>43</v>
      </c>
      <c r="B377" s="1" t="s">
        <v>65</v>
      </c>
      <c r="C377">
        <v>169324</v>
      </c>
    </row>
    <row r="378" spans="1:3" x14ac:dyDescent="0.25">
      <c r="A378" t="s">
        <v>44</v>
      </c>
      <c r="B378" s="1" t="s">
        <v>65</v>
      </c>
      <c r="C378">
        <v>41574</v>
      </c>
    </row>
    <row r="379" spans="1:3" x14ac:dyDescent="0.25">
      <c r="A379" t="s">
        <v>45</v>
      </c>
      <c r="B379" s="1" t="s">
        <v>65</v>
      </c>
      <c r="C379">
        <v>179484</v>
      </c>
    </row>
    <row r="380" spans="1:3" x14ac:dyDescent="0.25">
      <c r="A380" t="s">
        <v>46</v>
      </c>
      <c r="B380" s="1" t="s">
        <v>65</v>
      </c>
      <c r="C380">
        <v>186516</v>
      </c>
    </row>
    <row r="381" spans="1:3" x14ac:dyDescent="0.25">
      <c r="A381" t="s">
        <v>47</v>
      </c>
      <c r="B381" s="1" t="s">
        <v>65</v>
      </c>
      <c r="C381">
        <v>161393</v>
      </c>
    </row>
    <row r="382" spans="1:3" x14ac:dyDescent="0.25">
      <c r="A382" t="s">
        <v>48</v>
      </c>
      <c r="B382" s="1" t="s">
        <v>65</v>
      </c>
      <c r="C382">
        <v>-267924</v>
      </c>
    </row>
    <row r="383" spans="1:3" x14ac:dyDescent="0.25">
      <c r="A383" t="s">
        <v>49</v>
      </c>
      <c r="B383" s="1" t="s">
        <v>65</v>
      </c>
      <c r="C383">
        <v>-320561</v>
      </c>
    </row>
    <row r="384" spans="1:3" x14ac:dyDescent="0.25">
      <c r="A384" t="s">
        <v>50</v>
      </c>
      <c r="B384" s="1" t="s">
        <v>65</v>
      </c>
      <c r="C384">
        <v>-392373</v>
      </c>
    </row>
    <row r="385" spans="1:3" x14ac:dyDescent="0.25">
      <c r="A385" t="s">
        <v>51</v>
      </c>
      <c r="B385" s="1" t="s">
        <v>65</v>
      </c>
      <c r="C385">
        <v>-373435</v>
      </c>
    </row>
    <row r="386" spans="1:3" x14ac:dyDescent="0.25">
      <c r="A386" t="s">
        <v>52</v>
      </c>
      <c r="B386" s="1" t="s">
        <v>65</v>
      </c>
      <c r="C386">
        <v>-246585</v>
      </c>
    </row>
    <row r="387" spans="1:3" x14ac:dyDescent="0.25">
      <c r="A387" t="s">
        <v>53</v>
      </c>
      <c r="B387" s="1" t="s">
        <v>65</v>
      </c>
      <c r="C387">
        <v>63450</v>
      </c>
    </row>
    <row r="388" spans="1:3" x14ac:dyDescent="0.25">
      <c r="A388" t="s">
        <v>54</v>
      </c>
      <c r="B388" s="1" t="s">
        <v>65</v>
      </c>
      <c r="C388">
        <v>129809</v>
      </c>
    </row>
    <row r="389" spans="1:3" x14ac:dyDescent="0.25">
      <c r="A389" t="s">
        <v>55</v>
      </c>
      <c r="B389" s="1" t="s">
        <v>65</v>
      </c>
      <c r="C389">
        <v>-129060</v>
      </c>
    </row>
    <row r="390" spans="1:3" x14ac:dyDescent="0.25">
      <c r="A390" t="s">
        <v>56</v>
      </c>
      <c r="B390" s="1" t="s">
        <v>65</v>
      </c>
      <c r="C390">
        <v>-254675</v>
      </c>
    </row>
    <row r="391" spans="1:3" x14ac:dyDescent="0.25">
      <c r="A391" t="s">
        <v>57</v>
      </c>
      <c r="B391" s="1" t="s">
        <v>65</v>
      </c>
      <c r="C391">
        <v>-188114</v>
      </c>
    </row>
    <row r="392" spans="1:3" x14ac:dyDescent="0.25">
      <c r="A392" t="s">
        <v>58</v>
      </c>
      <c r="B392" s="1" t="s">
        <v>65</v>
      </c>
      <c r="C392">
        <v>57227</v>
      </c>
    </row>
    <row r="393" spans="1:3" x14ac:dyDescent="0.25">
      <c r="A393" t="s">
        <v>59</v>
      </c>
      <c r="B393" s="1" t="s">
        <v>65</v>
      </c>
      <c r="C393">
        <v>23475</v>
      </c>
    </row>
    <row r="394" spans="1:3" x14ac:dyDescent="0.25">
      <c r="A394" t="s">
        <v>3</v>
      </c>
      <c r="B394" s="1" t="s">
        <v>66</v>
      </c>
      <c r="C394">
        <v>-12045</v>
      </c>
    </row>
    <row r="395" spans="1:3" x14ac:dyDescent="0.25">
      <c r="A395" t="s">
        <v>5</v>
      </c>
      <c r="B395" s="1" t="s">
        <v>66</v>
      </c>
      <c r="C395">
        <v>25723</v>
      </c>
    </row>
    <row r="396" spans="1:3" x14ac:dyDescent="0.25">
      <c r="A396" t="s">
        <v>6</v>
      </c>
      <c r="B396" s="1" t="s">
        <v>66</v>
      </c>
      <c r="C396">
        <v>77312</v>
      </c>
    </row>
    <row r="397" spans="1:3" x14ac:dyDescent="0.25">
      <c r="A397" t="s">
        <v>7</v>
      </c>
      <c r="B397" s="1" t="s">
        <v>66</v>
      </c>
      <c r="C397">
        <v>18691</v>
      </c>
    </row>
    <row r="398" spans="1:3" x14ac:dyDescent="0.25">
      <c r="A398" t="s">
        <v>8</v>
      </c>
      <c r="B398" s="1" t="s">
        <v>66</v>
      </c>
      <c r="C398">
        <v>10749</v>
      </c>
    </row>
    <row r="399" spans="1:3" x14ac:dyDescent="0.25">
      <c r="A399" t="s">
        <v>9</v>
      </c>
      <c r="B399" s="1" t="s">
        <v>66</v>
      </c>
      <c r="C399">
        <v>60301</v>
      </c>
    </row>
    <row r="400" spans="1:3" x14ac:dyDescent="0.25">
      <c r="A400" t="s">
        <v>10</v>
      </c>
      <c r="B400" s="1" t="s">
        <v>66</v>
      </c>
      <c r="C400">
        <v>116142</v>
      </c>
    </row>
    <row r="401" spans="1:3" x14ac:dyDescent="0.25">
      <c r="A401" t="s">
        <v>11</v>
      </c>
      <c r="B401" s="1" t="s">
        <v>66</v>
      </c>
      <c r="C401">
        <v>63282</v>
      </c>
    </row>
    <row r="402" spans="1:3" x14ac:dyDescent="0.25">
      <c r="A402" t="s">
        <v>12</v>
      </c>
      <c r="B402" s="1" t="s">
        <v>66</v>
      </c>
      <c r="C402">
        <v>79837</v>
      </c>
    </row>
    <row r="403" spans="1:3" x14ac:dyDescent="0.25">
      <c r="A403" t="s">
        <v>13</v>
      </c>
      <c r="B403" s="1" t="s">
        <v>66</v>
      </c>
      <c r="C403">
        <v>41679</v>
      </c>
    </row>
    <row r="404" spans="1:3" x14ac:dyDescent="0.25">
      <c r="A404" t="s">
        <v>14</v>
      </c>
      <c r="B404" s="1" t="s">
        <v>66</v>
      </c>
      <c r="C404">
        <v>75284</v>
      </c>
    </row>
    <row r="405" spans="1:3" x14ac:dyDescent="0.25">
      <c r="A405" t="s">
        <v>15</v>
      </c>
      <c r="B405" s="1" t="s">
        <v>66</v>
      </c>
      <c r="C405">
        <v>59634</v>
      </c>
    </row>
    <row r="406" spans="1:3" x14ac:dyDescent="0.25">
      <c r="A406" t="s">
        <v>16</v>
      </c>
      <c r="B406" s="1" t="s">
        <v>66</v>
      </c>
      <c r="C406">
        <v>36770</v>
      </c>
    </row>
    <row r="407" spans="1:3" x14ac:dyDescent="0.25">
      <c r="A407" t="s">
        <v>17</v>
      </c>
      <c r="B407" s="1" t="s">
        <v>66</v>
      </c>
      <c r="C407">
        <v>66035</v>
      </c>
    </row>
    <row r="408" spans="1:3" x14ac:dyDescent="0.25">
      <c r="A408" t="s">
        <v>18</v>
      </c>
      <c r="B408" s="1" t="s">
        <v>66</v>
      </c>
      <c r="C408">
        <v>160670</v>
      </c>
    </row>
    <row r="409" spans="1:3" x14ac:dyDescent="0.25">
      <c r="A409" t="s">
        <v>19</v>
      </c>
      <c r="B409" s="1" t="s">
        <v>66</v>
      </c>
      <c r="C409">
        <v>38126</v>
      </c>
    </row>
    <row r="410" spans="1:3" x14ac:dyDescent="0.25">
      <c r="A410" t="s">
        <v>20</v>
      </c>
      <c r="B410" s="1" t="s">
        <v>66</v>
      </c>
      <c r="C410">
        <v>33894</v>
      </c>
    </row>
    <row r="411" spans="1:3" x14ac:dyDescent="0.25">
      <c r="A411" t="s">
        <v>21</v>
      </c>
      <c r="B411" s="1" t="s">
        <v>66</v>
      </c>
      <c r="C411">
        <v>102209</v>
      </c>
    </row>
    <row r="412" spans="1:3" x14ac:dyDescent="0.25">
      <c r="A412" t="s">
        <v>22</v>
      </c>
      <c r="B412" s="1" t="s">
        <v>66</v>
      </c>
      <c r="C412">
        <v>285315</v>
      </c>
    </row>
    <row r="413" spans="1:3" x14ac:dyDescent="0.25">
      <c r="A413" t="s">
        <v>23</v>
      </c>
      <c r="B413" s="1" t="s">
        <v>66</v>
      </c>
      <c r="C413">
        <v>75910</v>
      </c>
    </row>
    <row r="414" spans="1:3" x14ac:dyDescent="0.25">
      <c r="A414" t="s">
        <v>24</v>
      </c>
      <c r="B414" s="1" t="s">
        <v>66</v>
      </c>
      <c r="C414">
        <v>93305</v>
      </c>
    </row>
    <row r="415" spans="1:3" x14ac:dyDescent="0.25">
      <c r="A415" t="s">
        <v>25</v>
      </c>
      <c r="B415" s="1" t="s">
        <v>66</v>
      </c>
      <c r="C415">
        <v>166041</v>
      </c>
    </row>
    <row r="416" spans="1:3" x14ac:dyDescent="0.25">
      <c r="A416" t="s">
        <v>26</v>
      </c>
      <c r="B416" s="1" t="s">
        <v>66</v>
      </c>
      <c r="C416">
        <v>191987</v>
      </c>
    </row>
    <row r="417" spans="1:3" x14ac:dyDescent="0.25">
      <c r="A417" t="s">
        <v>27</v>
      </c>
      <c r="B417" s="1" t="s">
        <v>66</v>
      </c>
      <c r="C417">
        <v>147116</v>
      </c>
    </row>
    <row r="418" spans="1:3" x14ac:dyDescent="0.25">
      <c r="A418" t="s">
        <v>28</v>
      </c>
      <c r="B418" s="1" t="s">
        <v>66</v>
      </c>
      <c r="C418">
        <v>145466</v>
      </c>
    </row>
    <row r="419" spans="1:3" x14ac:dyDescent="0.25">
      <c r="A419" t="s">
        <v>29</v>
      </c>
      <c r="B419" s="1" t="s">
        <v>66</v>
      </c>
      <c r="C419">
        <v>228355</v>
      </c>
    </row>
    <row r="420" spans="1:3" x14ac:dyDescent="0.25">
      <c r="A420" t="s">
        <v>30</v>
      </c>
      <c r="B420" s="1" t="s">
        <v>66</v>
      </c>
      <c r="C420">
        <v>267766</v>
      </c>
    </row>
    <row r="421" spans="1:3" x14ac:dyDescent="0.25">
      <c r="A421" t="s">
        <v>31</v>
      </c>
      <c r="B421" s="1" t="s">
        <v>66</v>
      </c>
      <c r="C421">
        <v>186933</v>
      </c>
    </row>
    <row r="422" spans="1:3" x14ac:dyDescent="0.25">
      <c r="A422" t="s">
        <v>32</v>
      </c>
      <c r="B422" s="1" t="s">
        <v>66</v>
      </c>
      <c r="C422">
        <v>185275</v>
      </c>
    </row>
    <row r="423" spans="1:3" x14ac:dyDescent="0.25">
      <c r="A423" t="s">
        <v>33</v>
      </c>
      <c r="B423" s="1" t="s">
        <v>66</v>
      </c>
      <c r="C423">
        <v>263872</v>
      </c>
    </row>
    <row r="424" spans="1:3" x14ac:dyDescent="0.25">
      <c r="A424" t="s">
        <v>34</v>
      </c>
      <c r="B424" s="1" t="s">
        <v>66</v>
      </c>
      <c r="C424">
        <v>265253</v>
      </c>
    </row>
    <row r="425" spans="1:3" x14ac:dyDescent="0.25">
      <c r="A425" t="s">
        <v>35</v>
      </c>
      <c r="B425" s="1" t="s">
        <v>66</v>
      </c>
      <c r="C425">
        <v>164942</v>
      </c>
    </row>
    <row r="426" spans="1:3" x14ac:dyDescent="0.25">
      <c r="A426" t="s">
        <v>36</v>
      </c>
      <c r="B426" s="1" t="s">
        <v>66</v>
      </c>
      <c r="C426">
        <v>122665</v>
      </c>
    </row>
    <row r="427" spans="1:3" x14ac:dyDescent="0.25">
      <c r="A427" t="s">
        <v>37</v>
      </c>
      <c r="B427" s="1" t="s">
        <v>66</v>
      </c>
      <c r="C427">
        <v>273678</v>
      </c>
    </row>
    <row r="428" spans="1:3" x14ac:dyDescent="0.25">
      <c r="A428" t="s">
        <v>38</v>
      </c>
      <c r="B428" s="1" t="s">
        <v>66</v>
      </c>
      <c r="C428">
        <v>251732</v>
      </c>
    </row>
    <row r="429" spans="1:3" x14ac:dyDescent="0.25">
      <c r="A429" t="s">
        <v>39</v>
      </c>
      <c r="B429" s="1" t="s">
        <v>66</v>
      </c>
      <c r="C429">
        <v>426165</v>
      </c>
    </row>
    <row r="430" spans="1:3" x14ac:dyDescent="0.25">
      <c r="A430" t="s">
        <v>40</v>
      </c>
      <c r="B430" s="1" t="s">
        <v>66</v>
      </c>
      <c r="C430">
        <v>15868</v>
      </c>
    </row>
    <row r="431" spans="1:3" x14ac:dyDescent="0.25">
      <c r="A431" t="s">
        <v>41</v>
      </c>
      <c r="B431" s="1" t="s">
        <v>66</v>
      </c>
      <c r="C431">
        <v>215165</v>
      </c>
    </row>
    <row r="432" spans="1:3" x14ac:dyDescent="0.25">
      <c r="A432" t="s">
        <v>42</v>
      </c>
      <c r="B432" s="1" t="s">
        <v>66</v>
      </c>
      <c r="C432">
        <v>229800</v>
      </c>
    </row>
    <row r="433" spans="1:3" x14ac:dyDescent="0.25">
      <c r="A433" t="s">
        <v>43</v>
      </c>
      <c r="B433" s="1" t="s">
        <v>66</v>
      </c>
      <c r="C433">
        <v>47926</v>
      </c>
    </row>
    <row r="434" spans="1:3" x14ac:dyDescent="0.25">
      <c r="A434" t="s">
        <v>44</v>
      </c>
      <c r="B434" s="1" t="s">
        <v>66</v>
      </c>
      <c r="C434">
        <v>17407</v>
      </c>
    </row>
    <row r="435" spans="1:3" x14ac:dyDescent="0.25">
      <c r="A435" t="s">
        <v>45</v>
      </c>
      <c r="B435" s="1" t="s">
        <v>66</v>
      </c>
      <c r="C435">
        <v>256378</v>
      </c>
    </row>
    <row r="436" spans="1:3" x14ac:dyDescent="0.25">
      <c r="A436" t="s">
        <v>46</v>
      </c>
      <c r="B436" s="1" t="s">
        <v>66</v>
      </c>
      <c r="C436">
        <v>311173</v>
      </c>
    </row>
    <row r="437" spans="1:3" x14ac:dyDescent="0.25">
      <c r="A437" t="s">
        <v>47</v>
      </c>
      <c r="B437" s="1" t="s">
        <v>66</v>
      </c>
      <c r="C437">
        <v>181235</v>
      </c>
    </row>
    <row r="438" spans="1:3" x14ac:dyDescent="0.25">
      <c r="A438" t="s">
        <v>48</v>
      </c>
      <c r="B438" s="1" t="s">
        <v>66</v>
      </c>
      <c r="C438">
        <v>-210182</v>
      </c>
    </row>
    <row r="439" spans="1:3" x14ac:dyDescent="0.25">
      <c r="A439" t="s">
        <v>49</v>
      </c>
      <c r="B439" s="1" t="s">
        <v>66</v>
      </c>
      <c r="C439">
        <v>-261577</v>
      </c>
    </row>
    <row r="440" spans="1:3" x14ac:dyDescent="0.25">
      <c r="A440" t="s">
        <v>50</v>
      </c>
      <c r="B440" s="1" t="s">
        <v>66</v>
      </c>
      <c r="C440">
        <v>-501257</v>
      </c>
    </row>
    <row r="441" spans="1:3" x14ac:dyDescent="0.25">
      <c r="A441" t="s">
        <v>51</v>
      </c>
      <c r="B441" s="1" t="s">
        <v>66</v>
      </c>
      <c r="C441">
        <v>-428642</v>
      </c>
    </row>
    <row r="442" spans="1:3" x14ac:dyDescent="0.25">
      <c r="A442" t="s">
        <v>52</v>
      </c>
      <c r="B442" s="1" t="s">
        <v>66</v>
      </c>
      <c r="C442">
        <v>-188295</v>
      </c>
    </row>
    <row r="443" spans="1:3" x14ac:dyDescent="0.25">
      <c r="A443" t="s">
        <v>53</v>
      </c>
      <c r="B443" s="1" t="s">
        <v>66</v>
      </c>
      <c r="C443">
        <v>329064</v>
      </c>
    </row>
    <row r="444" spans="1:3" x14ac:dyDescent="0.25">
      <c r="A444" t="s">
        <v>54</v>
      </c>
      <c r="B444" s="1" t="s">
        <v>66</v>
      </c>
      <c r="C444">
        <v>179188</v>
      </c>
    </row>
    <row r="445" spans="1:3" x14ac:dyDescent="0.25">
      <c r="A445" t="s">
        <v>55</v>
      </c>
      <c r="B445" s="1" t="s">
        <v>66</v>
      </c>
      <c r="C445">
        <v>22674</v>
      </c>
    </row>
    <row r="446" spans="1:3" x14ac:dyDescent="0.25">
      <c r="A446" t="s">
        <v>56</v>
      </c>
      <c r="B446" s="1" t="s">
        <v>66</v>
      </c>
      <c r="C446">
        <v>-89902</v>
      </c>
    </row>
    <row r="447" spans="1:3" x14ac:dyDescent="0.25">
      <c r="A447" t="s">
        <v>57</v>
      </c>
      <c r="B447" s="1" t="s">
        <v>66</v>
      </c>
      <c r="C447">
        <v>143232</v>
      </c>
    </row>
    <row r="448" spans="1:3" x14ac:dyDescent="0.25">
      <c r="A448" t="s">
        <v>58</v>
      </c>
      <c r="B448" s="1" t="s">
        <v>66</v>
      </c>
      <c r="C448">
        <v>58195</v>
      </c>
    </row>
    <row r="449" spans="1:3" x14ac:dyDescent="0.25">
      <c r="A449" t="s">
        <v>59</v>
      </c>
      <c r="B449" s="1" t="s">
        <v>66</v>
      </c>
      <c r="C449">
        <v>58244</v>
      </c>
    </row>
    <row r="450" spans="1:3" x14ac:dyDescent="0.25">
      <c r="A450" t="s">
        <v>3</v>
      </c>
      <c r="B450" s="1" t="s">
        <v>67</v>
      </c>
      <c r="C450">
        <v>18710</v>
      </c>
    </row>
    <row r="451" spans="1:3" x14ac:dyDescent="0.25">
      <c r="A451" t="s">
        <v>5</v>
      </c>
      <c r="B451" s="1" t="s">
        <v>67</v>
      </c>
      <c r="C451">
        <v>22818</v>
      </c>
    </row>
    <row r="452" spans="1:3" x14ac:dyDescent="0.25">
      <c r="A452" t="s">
        <v>6</v>
      </c>
      <c r="B452" s="1" t="s">
        <v>67</v>
      </c>
      <c r="C452">
        <v>14281</v>
      </c>
    </row>
    <row r="453" spans="1:3" x14ac:dyDescent="0.25">
      <c r="A453" t="s">
        <v>7</v>
      </c>
      <c r="B453" s="1" t="s">
        <v>67</v>
      </c>
      <c r="C453">
        <v>27884</v>
      </c>
    </row>
    <row r="454" spans="1:3" x14ac:dyDescent="0.25">
      <c r="A454" t="s">
        <v>8</v>
      </c>
      <c r="B454" s="1" t="s">
        <v>67</v>
      </c>
      <c r="C454">
        <v>11277</v>
      </c>
    </row>
    <row r="455" spans="1:3" x14ac:dyDescent="0.25">
      <c r="A455" t="s">
        <v>9</v>
      </c>
      <c r="B455" s="1" t="s">
        <v>67</v>
      </c>
      <c r="C455">
        <v>-59312</v>
      </c>
    </row>
    <row r="456" spans="1:3" x14ac:dyDescent="0.25">
      <c r="A456" t="s">
        <v>10</v>
      </c>
      <c r="B456" s="1" t="s">
        <v>67</v>
      </c>
      <c r="C456">
        <v>63944</v>
      </c>
    </row>
    <row r="457" spans="1:3" x14ac:dyDescent="0.25">
      <c r="A457" t="s">
        <v>11</v>
      </c>
      <c r="B457" s="1" t="s">
        <v>67</v>
      </c>
      <c r="C457">
        <v>9530</v>
      </c>
    </row>
    <row r="458" spans="1:3" x14ac:dyDescent="0.25">
      <c r="A458" t="s">
        <v>12</v>
      </c>
      <c r="B458" s="1" t="s">
        <v>67</v>
      </c>
      <c r="C458">
        <v>6377</v>
      </c>
    </row>
    <row r="459" spans="1:3" x14ac:dyDescent="0.25">
      <c r="A459" t="s">
        <v>13</v>
      </c>
      <c r="B459" s="1" t="s">
        <v>67</v>
      </c>
      <c r="C459">
        <v>14099</v>
      </c>
    </row>
    <row r="460" spans="1:3" x14ac:dyDescent="0.25">
      <c r="A460" t="s">
        <v>14</v>
      </c>
      <c r="B460" s="1" t="s">
        <v>67</v>
      </c>
      <c r="C460">
        <v>22873</v>
      </c>
    </row>
    <row r="461" spans="1:3" x14ac:dyDescent="0.25">
      <c r="A461" t="s">
        <v>15</v>
      </c>
      <c r="B461" s="1" t="s">
        <v>67</v>
      </c>
      <c r="C461">
        <v>23991</v>
      </c>
    </row>
    <row r="462" spans="1:3" x14ac:dyDescent="0.25">
      <c r="A462" t="s">
        <v>16</v>
      </c>
      <c r="B462" s="1" t="s">
        <v>67</v>
      </c>
      <c r="C462">
        <v>20004</v>
      </c>
    </row>
    <row r="463" spans="1:3" x14ac:dyDescent="0.25">
      <c r="A463" t="s">
        <v>17</v>
      </c>
      <c r="B463" s="1" t="s">
        <v>67</v>
      </c>
      <c r="C463">
        <v>29782</v>
      </c>
    </row>
    <row r="464" spans="1:3" x14ac:dyDescent="0.25">
      <c r="A464" t="s">
        <v>18</v>
      </c>
      <c r="B464" s="1" t="s">
        <v>67</v>
      </c>
      <c r="C464">
        <v>26359</v>
      </c>
    </row>
    <row r="465" spans="1:3" x14ac:dyDescent="0.25">
      <c r="A465" t="s">
        <v>19</v>
      </c>
      <c r="B465" s="1" t="s">
        <v>67</v>
      </c>
      <c r="C465">
        <v>19566</v>
      </c>
    </row>
    <row r="466" spans="1:3" x14ac:dyDescent="0.25">
      <c r="A466" t="s">
        <v>20</v>
      </c>
      <c r="B466" s="1" t="s">
        <v>67</v>
      </c>
      <c r="C466">
        <v>26796</v>
      </c>
    </row>
    <row r="467" spans="1:3" x14ac:dyDescent="0.25">
      <c r="A467" t="s">
        <v>21</v>
      </c>
      <c r="B467" s="1" t="s">
        <v>67</v>
      </c>
      <c r="C467">
        <v>41965</v>
      </c>
    </row>
    <row r="468" spans="1:3" x14ac:dyDescent="0.25">
      <c r="A468" t="s">
        <v>22</v>
      </c>
      <c r="B468" s="1" t="s">
        <v>67</v>
      </c>
      <c r="C468">
        <v>54381</v>
      </c>
    </row>
    <row r="469" spans="1:3" x14ac:dyDescent="0.25">
      <c r="A469" t="s">
        <v>23</v>
      </c>
      <c r="B469" s="1" t="s">
        <v>67</v>
      </c>
      <c r="C469">
        <v>43193</v>
      </c>
    </row>
    <row r="470" spans="1:3" x14ac:dyDescent="0.25">
      <c r="A470" t="s">
        <v>24</v>
      </c>
      <c r="B470" s="1" t="s">
        <v>67</v>
      </c>
      <c r="C470">
        <v>37706</v>
      </c>
    </row>
    <row r="471" spans="1:3" x14ac:dyDescent="0.25">
      <c r="A471" t="s">
        <v>25</v>
      </c>
      <c r="B471" s="1" t="s">
        <v>67</v>
      </c>
      <c r="C471">
        <v>64849</v>
      </c>
    </row>
    <row r="472" spans="1:3" x14ac:dyDescent="0.25">
      <c r="A472" t="s">
        <v>26</v>
      </c>
      <c r="B472" s="1" t="s">
        <v>67</v>
      </c>
      <c r="C472">
        <v>66994</v>
      </c>
    </row>
    <row r="473" spans="1:3" x14ac:dyDescent="0.25">
      <c r="A473" t="s">
        <v>27</v>
      </c>
      <c r="B473" s="1" t="s">
        <v>67</v>
      </c>
      <c r="C473">
        <v>57802</v>
      </c>
    </row>
    <row r="474" spans="1:3" x14ac:dyDescent="0.25">
      <c r="A474" t="s">
        <v>28</v>
      </c>
      <c r="B474" s="1" t="s">
        <v>67</v>
      </c>
      <c r="C474">
        <v>69002</v>
      </c>
    </row>
    <row r="475" spans="1:3" x14ac:dyDescent="0.25">
      <c r="A475" t="s">
        <v>29</v>
      </c>
      <c r="B475" s="1" t="s">
        <v>67</v>
      </c>
      <c r="C475">
        <v>76704</v>
      </c>
    </row>
    <row r="476" spans="1:3" x14ac:dyDescent="0.25">
      <c r="A476" t="s">
        <v>30</v>
      </c>
      <c r="B476" s="1" t="s">
        <v>67</v>
      </c>
      <c r="C476">
        <v>102823</v>
      </c>
    </row>
    <row r="477" spans="1:3" x14ac:dyDescent="0.25">
      <c r="A477" t="s">
        <v>31</v>
      </c>
      <c r="B477" s="1" t="s">
        <v>67</v>
      </c>
      <c r="C477">
        <v>78781</v>
      </c>
    </row>
    <row r="478" spans="1:3" x14ac:dyDescent="0.25">
      <c r="A478" t="s">
        <v>32</v>
      </c>
      <c r="B478" s="1" t="s">
        <v>67</v>
      </c>
      <c r="C478">
        <v>61920</v>
      </c>
    </row>
    <row r="479" spans="1:3" x14ac:dyDescent="0.25">
      <c r="A479" t="s">
        <v>33</v>
      </c>
      <c r="B479" s="1" t="s">
        <v>67</v>
      </c>
      <c r="C479">
        <v>73084</v>
      </c>
    </row>
    <row r="480" spans="1:3" x14ac:dyDescent="0.25">
      <c r="A480" t="s">
        <v>34</v>
      </c>
      <c r="B480" s="1" t="s">
        <v>67</v>
      </c>
      <c r="C480">
        <v>81382</v>
      </c>
    </row>
    <row r="481" spans="1:3" x14ac:dyDescent="0.25">
      <c r="A481" t="s">
        <v>35</v>
      </c>
      <c r="B481" s="1" t="s">
        <v>67</v>
      </c>
      <c r="C481">
        <v>48493</v>
      </c>
    </row>
    <row r="482" spans="1:3" x14ac:dyDescent="0.25">
      <c r="A482" t="s">
        <v>36</v>
      </c>
      <c r="B482" s="1" t="s">
        <v>67</v>
      </c>
      <c r="C482">
        <v>31935</v>
      </c>
    </row>
    <row r="483" spans="1:3" x14ac:dyDescent="0.25">
      <c r="A483" t="s">
        <v>37</v>
      </c>
      <c r="B483" s="1" t="s">
        <v>67</v>
      </c>
      <c r="C483">
        <v>94209</v>
      </c>
    </row>
    <row r="484" spans="1:3" x14ac:dyDescent="0.25">
      <c r="A484" t="s">
        <v>38</v>
      </c>
      <c r="B484" s="1" t="s">
        <v>67</v>
      </c>
      <c r="C484">
        <v>60190</v>
      </c>
    </row>
    <row r="485" spans="1:3" x14ac:dyDescent="0.25">
      <c r="A485" t="s">
        <v>39</v>
      </c>
      <c r="B485" s="1" t="s">
        <v>67</v>
      </c>
      <c r="C485">
        <v>81746</v>
      </c>
    </row>
    <row r="486" spans="1:3" x14ac:dyDescent="0.25">
      <c r="A486" t="s">
        <v>40</v>
      </c>
      <c r="B486" s="1" t="s">
        <v>67</v>
      </c>
      <c r="C486">
        <v>-44922</v>
      </c>
    </row>
    <row r="487" spans="1:3" x14ac:dyDescent="0.25">
      <c r="A487" t="s">
        <v>41</v>
      </c>
      <c r="B487" s="1" t="s">
        <v>67</v>
      </c>
      <c r="C487">
        <v>11254</v>
      </c>
    </row>
    <row r="488" spans="1:3" x14ac:dyDescent="0.25">
      <c r="A488" t="s">
        <v>42</v>
      </c>
      <c r="B488" s="1" t="s">
        <v>67</v>
      </c>
      <c r="C488">
        <v>97480</v>
      </c>
    </row>
    <row r="489" spans="1:3" x14ac:dyDescent="0.25">
      <c r="A489" t="s">
        <v>43</v>
      </c>
      <c r="B489" s="1" t="s">
        <v>67</v>
      </c>
      <c r="C489">
        <v>91936</v>
      </c>
    </row>
    <row r="490" spans="1:3" x14ac:dyDescent="0.25">
      <c r="A490" t="s">
        <v>44</v>
      </c>
      <c r="B490" s="1" t="s">
        <v>67</v>
      </c>
      <c r="C490">
        <v>56076</v>
      </c>
    </row>
    <row r="491" spans="1:3" x14ac:dyDescent="0.25">
      <c r="A491" t="s">
        <v>45</v>
      </c>
      <c r="B491" s="1" t="s">
        <v>67</v>
      </c>
      <c r="C491">
        <v>114510</v>
      </c>
    </row>
    <row r="492" spans="1:3" x14ac:dyDescent="0.25">
      <c r="A492" t="s">
        <v>46</v>
      </c>
      <c r="B492" s="1" t="s">
        <v>67</v>
      </c>
      <c r="C492">
        <v>83464</v>
      </c>
    </row>
    <row r="493" spans="1:3" x14ac:dyDescent="0.25">
      <c r="A493" t="s">
        <v>47</v>
      </c>
      <c r="B493" s="1" t="s">
        <v>67</v>
      </c>
      <c r="C493">
        <v>81214</v>
      </c>
    </row>
    <row r="494" spans="1:3" x14ac:dyDescent="0.25">
      <c r="A494" t="s">
        <v>48</v>
      </c>
      <c r="B494" s="1" t="s">
        <v>67</v>
      </c>
      <c r="C494">
        <v>-27828</v>
      </c>
    </row>
    <row r="495" spans="1:3" x14ac:dyDescent="0.25">
      <c r="A495" t="s">
        <v>49</v>
      </c>
      <c r="B495" s="1" t="s">
        <v>67</v>
      </c>
      <c r="C495">
        <v>-144428</v>
      </c>
    </row>
    <row r="496" spans="1:3" x14ac:dyDescent="0.25">
      <c r="A496" t="s">
        <v>50</v>
      </c>
      <c r="B496" s="1" t="s">
        <v>67</v>
      </c>
      <c r="C496">
        <v>-99140</v>
      </c>
    </row>
    <row r="497" spans="1:3" x14ac:dyDescent="0.25">
      <c r="A497" t="s">
        <v>51</v>
      </c>
      <c r="B497" s="1" t="s">
        <v>67</v>
      </c>
      <c r="C497">
        <v>-157305</v>
      </c>
    </row>
    <row r="498" spans="1:3" x14ac:dyDescent="0.25">
      <c r="A498" t="s">
        <v>52</v>
      </c>
      <c r="B498" s="1" t="s">
        <v>67</v>
      </c>
      <c r="C498">
        <v>-112321</v>
      </c>
    </row>
    <row r="499" spans="1:3" x14ac:dyDescent="0.25">
      <c r="A499" t="s">
        <v>53</v>
      </c>
      <c r="B499" s="1" t="s">
        <v>67</v>
      </c>
      <c r="C499">
        <v>-287863</v>
      </c>
    </row>
    <row r="500" spans="1:3" x14ac:dyDescent="0.25">
      <c r="A500" t="s">
        <v>54</v>
      </c>
      <c r="B500" s="1" t="s">
        <v>67</v>
      </c>
      <c r="C500">
        <v>14774</v>
      </c>
    </row>
    <row r="501" spans="1:3" x14ac:dyDescent="0.25">
      <c r="A501" t="s">
        <v>55</v>
      </c>
      <c r="B501" s="1" t="s">
        <v>67</v>
      </c>
      <c r="C501">
        <v>-87158</v>
      </c>
    </row>
    <row r="502" spans="1:3" x14ac:dyDescent="0.25">
      <c r="A502" t="s">
        <v>56</v>
      </c>
      <c r="B502" s="1" t="s">
        <v>67</v>
      </c>
      <c r="C502">
        <v>-194703</v>
      </c>
    </row>
    <row r="503" spans="1:3" x14ac:dyDescent="0.25">
      <c r="A503" t="s">
        <v>57</v>
      </c>
      <c r="B503" s="1" t="s">
        <v>67</v>
      </c>
      <c r="C503">
        <v>-52406</v>
      </c>
    </row>
    <row r="504" spans="1:3" x14ac:dyDescent="0.25">
      <c r="A504" t="s">
        <v>58</v>
      </c>
      <c r="B504" s="1" t="s">
        <v>67</v>
      </c>
      <c r="C504">
        <v>-36377</v>
      </c>
    </row>
    <row r="505" spans="1:3" x14ac:dyDescent="0.25">
      <c r="A505" t="s">
        <v>59</v>
      </c>
      <c r="B505" s="1" t="s">
        <v>67</v>
      </c>
      <c r="C505">
        <v>-270664</v>
      </c>
    </row>
    <row r="506" spans="1:3" x14ac:dyDescent="0.25">
      <c r="A506" t="s">
        <v>3</v>
      </c>
      <c r="B506" s="1" t="s">
        <v>68</v>
      </c>
      <c r="C506">
        <v>-163595</v>
      </c>
    </row>
    <row r="507" spans="1:3" x14ac:dyDescent="0.25">
      <c r="A507" t="s">
        <v>5</v>
      </c>
      <c r="B507" s="1" t="s">
        <v>68</v>
      </c>
      <c r="C507">
        <v>7208</v>
      </c>
    </row>
    <row r="508" spans="1:3" x14ac:dyDescent="0.25">
      <c r="A508" t="s">
        <v>6</v>
      </c>
      <c r="B508" s="1" t="s">
        <v>68</v>
      </c>
      <c r="C508">
        <v>286779</v>
      </c>
    </row>
    <row r="509" spans="1:3" x14ac:dyDescent="0.25">
      <c r="A509" t="s">
        <v>7</v>
      </c>
      <c r="B509" s="1" t="s">
        <v>68</v>
      </c>
      <c r="C509">
        <v>-9777</v>
      </c>
    </row>
    <row r="510" spans="1:3" x14ac:dyDescent="0.25">
      <c r="A510" t="s">
        <v>8</v>
      </c>
      <c r="B510" s="1" t="s">
        <v>68</v>
      </c>
      <c r="C510">
        <v>-13554</v>
      </c>
    </row>
    <row r="511" spans="1:3" x14ac:dyDescent="0.25">
      <c r="A511" t="s">
        <v>9</v>
      </c>
      <c r="B511" s="1" t="s">
        <v>68</v>
      </c>
      <c r="C511">
        <v>-1486</v>
      </c>
    </row>
    <row r="512" spans="1:3" x14ac:dyDescent="0.25">
      <c r="A512" t="s">
        <v>10</v>
      </c>
      <c r="B512" s="1" t="s">
        <v>68</v>
      </c>
      <c r="C512">
        <v>9556</v>
      </c>
    </row>
    <row r="513" spans="1:3" x14ac:dyDescent="0.25">
      <c r="A513" t="s">
        <v>11</v>
      </c>
      <c r="B513" s="1" t="s">
        <v>68</v>
      </c>
      <c r="C513">
        <v>-13895</v>
      </c>
    </row>
    <row r="514" spans="1:3" x14ac:dyDescent="0.25">
      <c r="A514" t="s">
        <v>12</v>
      </c>
      <c r="B514" s="1" t="s">
        <v>68</v>
      </c>
      <c r="C514">
        <v>-36469</v>
      </c>
    </row>
    <row r="515" spans="1:3" x14ac:dyDescent="0.25">
      <c r="A515" t="s">
        <v>13</v>
      </c>
      <c r="B515" s="1" t="s">
        <v>68</v>
      </c>
      <c r="C515">
        <v>-23509</v>
      </c>
    </row>
    <row r="516" spans="1:3" x14ac:dyDescent="0.25">
      <c r="A516" t="s">
        <v>14</v>
      </c>
      <c r="B516" s="1" t="s">
        <v>68</v>
      </c>
      <c r="C516">
        <v>551</v>
      </c>
    </row>
    <row r="517" spans="1:3" x14ac:dyDescent="0.25">
      <c r="A517" t="s">
        <v>15</v>
      </c>
      <c r="B517" s="1" t="s">
        <v>68</v>
      </c>
      <c r="C517">
        <v>-12628</v>
      </c>
    </row>
    <row r="518" spans="1:3" x14ac:dyDescent="0.25">
      <c r="A518" t="s">
        <v>16</v>
      </c>
      <c r="B518" s="1" t="s">
        <v>68</v>
      </c>
      <c r="C518">
        <v>-13461</v>
      </c>
    </row>
    <row r="519" spans="1:3" x14ac:dyDescent="0.25">
      <c r="A519" t="s">
        <v>17</v>
      </c>
      <c r="B519" s="1" t="s">
        <v>68</v>
      </c>
      <c r="C519">
        <v>8542</v>
      </c>
    </row>
    <row r="520" spans="1:3" x14ac:dyDescent="0.25">
      <c r="A520" t="s">
        <v>18</v>
      </c>
      <c r="B520" s="1" t="s">
        <v>68</v>
      </c>
      <c r="C520">
        <v>18319</v>
      </c>
    </row>
    <row r="521" spans="1:3" x14ac:dyDescent="0.25">
      <c r="A521" t="s">
        <v>19</v>
      </c>
      <c r="B521" s="1" t="s">
        <v>68</v>
      </c>
      <c r="C521">
        <v>-8665</v>
      </c>
    </row>
    <row r="522" spans="1:3" x14ac:dyDescent="0.25">
      <c r="A522" t="s">
        <v>20</v>
      </c>
      <c r="B522" s="1" t="s">
        <v>68</v>
      </c>
      <c r="C522">
        <v>-17345</v>
      </c>
    </row>
    <row r="523" spans="1:3" x14ac:dyDescent="0.25">
      <c r="A523" t="s">
        <v>21</v>
      </c>
      <c r="B523" s="1" t="s">
        <v>68</v>
      </c>
      <c r="C523">
        <v>3009</v>
      </c>
    </row>
    <row r="524" spans="1:3" x14ac:dyDescent="0.25">
      <c r="A524" t="s">
        <v>22</v>
      </c>
      <c r="B524" s="1" t="s">
        <v>68</v>
      </c>
      <c r="C524">
        <v>23450</v>
      </c>
    </row>
    <row r="525" spans="1:3" x14ac:dyDescent="0.25">
      <c r="A525" t="s">
        <v>23</v>
      </c>
      <c r="B525" s="1" t="s">
        <v>68</v>
      </c>
      <c r="C525">
        <v>2529</v>
      </c>
    </row>
    <row r="526" spans="1:3" x14ac:dyDescent="0.25">
      <c r="A526" t="s">
        <v>24</v>
      </c>
      <c r="B526" s="1" t="s">
        <v>68</v>
      </c>
      <c r="C526">
        <v>10156</v>
      </c>
    </row>
    <row r="527" spans="1:3" x14ac:dyDescent="0.25">
      <c r="A527" t="s">
        <v>25</v>
      </c>
      <c r="B527" s="1" t="s">
        <v>68</v>
      </c>
      <c r="C527">
        <v>35124</v>
      </c>
    </row>
    <row r="528" spans="1:3" x14ac:dyDescent="0.25">
      <c r="A528" t="s">
        <v>26</v>
      </c>
      <c r="B528" s="1" t="s">
        <v>68</v>
      </c>
      <c r="C528">
        <v>58303</v>
      </c>
    </row>
    <row r="529" spans="1:3" x14ac:dyDescent="0.25">
      <c r="A529" t="s">
        <v>27</v>
      </c>
      <c r="B529" s="1" t="s">
        <v>68</v>
      </c>
      <c r="C529">
        <v>25446</v>
      </c>
    </row>
    <row r="530" spans="1:3" x14ac:dyDescent="0.25">
      <c r="A530" t="s">
        <v>28</v>
      </c>
      <c r="B530" s="1" t="s">
        <v>68</v>
      </c>
      <c r="C530">
        <v>30810</v>
      </c>
    </row>
    <row r="531" spans="1:3" x14ac:dyDescent="0.25">
      <c r="A531" t="s">
        <v>29</v>
      </c>
      <c r="B531" s="1" t="s">
        <v>68</v>
      </c>
      <c r="C531">
        <v>59711</v>
      </c>
    </row>
    <row r="532" spans="1:3" x14ac:dyDescent="0.25">
      <c r="A532" t="s">
        <v>30</v>
      </c>
      <c r="B532" s="1" t="s">
        <v>68</v>
      </c>
      <c r="C532">
        <v>35547</v>
      </c>
    </row>
    <row r="533" spans="1:3" x14ac:dyDescent="0.25">
      <c r="A533" t="s">
        <v>31</v>
      </c>
      <c r="B533" s="1" t="s">
        <v>68</v>
      </c>
      <c r="C533">
        <v>19445</v>
      </c>
    </row>
    <row r="534" spans="1:3" x14ac:dyDescent="0.25">
      <c r="A534" t="s">
        <v>32</v>
      </c>
      <c r="B534" s="1" t="s">
        <v>68</v>
      </c>
      <c r="C534">
        <v>38530</v>
      </c>
    </row>
    <row r="535" spans="1:3" x14ac:dyDescent="0.25">
      <c r="A535" t="s">
        <v>33</v>
      </c>
      <c r="B535" s="1" t="s">
        <v>68</v>
      </c>
      <c r="C535">
        <v>52423</v>
      </c>
    </row>
    <row r="536" spans="1:3" x14ac:dyDescent="0.25">
      <c r="A536" t="s">
        <v>34</v>
      </c>
      <c r="B536" s="1" t="s">
        <v>68</v>
      </c>
      <c r="C536">
        <v>78945</v>
      </c>
    </row>
    <row r="537" spans="1:3" x14ac:dyDescent="0.25">
      <c r="A537" t="s">
        <v>35</v>
      </c>
      <c r="B537" s="1" t="s">
        <v>68</v>
      </c>
      <c r="C537">
        <v>32721</v>
      </c>
    </row>
    <row r="538" spans="1:3" x14ac:dyDescent="0.25">
      <c r="A538" t="s">
        <v>36</v>
      </c>
      <c r="B538" s="1" t="s">
        <v>68</v>
      </c>
      <c r="C538">
        <v>-237</v>
      </c>
    </row>
    <row r="539" spans="1:3" x14ac:dyDescent="0.25">
      <c r="A539" t="s">
        <v>37</v>
      </c>
      <c r="B539" s="1" t="s">
        <v>68</v>
      </c>
      <c r="C539">
        <v>70019</v>
      </c>
    </row>
    <row r="540" spans="1:3" x14ac:dyDescent="0.25">
      <c r="A540" t="s">
        <v>38</v>
      </c>
      <c r="B540" s="1" t="s">
        <v>68</v>
      </c>
      <c r="C540">
        <v>66331</v>
      </c>
    </row>
    <row r="541" spans="1:3" x14ac:dyDescent="0.25">
      <c r="A541" t="s">
        <v>39</v>
      </c>
      <c r="B541" s="1" t="s">
        <v>68</v>
      </c>
      <c r="C541">
        <v>28750</v>
      </c>
    </row>
    <row r="542" spans="1:3" x14ac:dyDescent="0.25">
      <c r="A542" t="s">
        <v>40</v>
      </c>
      <c r="B542" s="1" t="s">
        <v>68</v>
      </c>
      <c r="C542">
        <v>26845</v>
      </c>
    </row>
    <row r="543" spans="1:3" x14ac:dyDescent="0.25">
      <c r="A543" t="s">
        <v>41</v>
      </c>
      <c r="B543" s="1" t="s">
        <v>68</v>
      </c>
      <c r="C543">
        <v>67225</v>
      </c>
    </row>
    <row r="544" spans="1:3" x14ac:dyDescent="0.25">
      <c r="A544" t="s">
        <v>42</v>
      </c>
      <c r="B544" s="1" t="s">
        <v>68</v>
      </c>
      <c r="C544">
        <v>30541</v>
      </c>
    </row>
    <row r="545" spans="1:3" x14ac:dyDescent="0.25">
      <c r="A545" t="s">
        <v>43</v>
      </c>
      <c r="B545" s="1" t="s">
        <v>68</v>
      </c>
      <c r="C545">
        <v>-42084</v>
      </c>
    </row>
    <row r="546" spans="1:3" x14ac:dyDescent="0.25">
      <c r="A546" t="s">
        <v>44</v>
      </c>
      <c r="B546" s="1" t="s">
        <v>68</v>
      </c>
      <c r="C546">
        <v>27053</v>
      </c>
    </row>
    <row r="547" spans="1:3" x14ac:dyDescent="0.25">
      <c r="A547" t="s">
        <v>45</v>
      </c>
      <c r="B547" s="1" t="s">
        <v>68</v>
      </c>
      <c r="C547">
        <v>80534</v>
      </c>
    </row>
    <row r="548" spans="1:3" x14ac:dyDescent="0.25">
      <c r="A548" t="s">
        <v>46</v>
      </c>
      <c r="B548" s="1" t="s">
        <v>68</v>
      </c>
      <c r="C548">
        <v>87669</v>
      </c>
    </row>
    <row r="549" spans="1:3" x14ac:dyDescent="0.25">
      <c r="A549" t="s">
        <v>47</v>
      </c>
      <c r="B549" s="1" t="s">
        <v>68</v>
      </c>
      <c r="C549">
        <v>55591</v>
      </c>
    </row>
    <row r="550" spans="1:3" x14ac:dyDescent="0.25">
      <c r="A550" t="s">
        <v>48</v>
      </c>
      <c r="B550" s="1" t="s">
        <v>68</v>
      </c>
      <c r="C550">
        <v>-59506</v>
      </c>
    </row>
    <row r="551" spans="1:3" x14ac:dyDescent="0.25">
      <c r="A551" t="s">
        <v>49</v>
      </c>
      <c r="B551" s="1" t="s">
        <v>68</v>
      </c>
      <c r="C551">
        <v>17358</v>
      </c>
    </row>
    <row r="552" spans="1:3" x14ac:dyDescent="0.25">
      <c r="A552" t="s">
        <v>50</v>
      </c>
      <c r="B552" s="1" t="s">
        <v>68</v>
      </c>
      <c r="C552">
        <v>-51604</v>
      </c>
    </row>
    <row r="553" spans="1:3" x14ac:dyDescent="0.25">
      <c r="A553" t="s">
        <v>51</v>
      </c>
      <c r="B553" s="1" t="s">
        <v>68</v>
      </c>
      <c r="C553">
        <v>-126850</v>
      </c>
    </row>
    <row r="554" spans="1:3" x14ac:dyDescent="0.25">
      <c r="A554" t="s">
        <v>52</v>
      </c>
      <c r="B554" s="1" t="s">
        <v>68</v>
      </c>
      <c r="C554">
        <v>-91053</v>
      </c>
    </row>
    <row r="555" spans="1:3" x14ac:dyDescent="0.25">
      <c r="A555" t="s">
        <v>53</v>
      </c>
      <c r="B555" s="1" t="s">
        <v>68</v>
      </c>
      <c r="C555">
        <v>18777</v>
      </c>
    </row>
    <row r="556" spans="1:3" x14ac:dyDescent="0.25">
      <c r="A556" t="s">
        <v>54</v>
      </c>
      <c r="B556" s="1" t="s">
        <v>68</v>
      </c>
      <c r="C556">
        <v>23360</v>
      </c>
    </row>
    <row r="557" spans="1:3" x14ac:dyDescent="0.25">
      <c r="A557" t="s">
        <v>55</v>
      </c>
      <c r="B557" s="1" t="s">
        <v>68</v>
      </c>
      <c r="C557">
        <v>-53155</v>
      </c>
    </row>
    <row r="558" spans="1:3" x14ac:dyDescent="0.25">
      <c r="A558" t="s">
        <v>56</v>
      </c>
      <c r="B558" s="1" t="s">
        <v>68</v>
      </c>
      <c r="C558">
        <v>-114881</v>
      </c>
    </row>
    <row r="559" spans="1:3" x14ac:dyDescent="0.25">
      <c r="A559" t="s">
        <v>57</v>
      </c>
      <c r="B559" s="1" t="s">
        <v>68</v>
      </c>
      <c r="C559">
        <v>16407</v>
      </c>
    </row>
    <row r="560" spans="1:3" x14ac:dyDescent="0.25">
      <c r="A560" t="s">
        <v>58</v>
      </c>
      <c r="B560" s="1" t="s">
        <v>68</v>
      </c>
      <c r="C560">
        <v>20739</v>
      </c>
    </row>
    <row r="561" spans="1:3" x14ac:dyDescent="0.25">
      <c r="A561" t="s">
        <v>59</v>
      </c>
      <c r="B561" s="1" t="s">
        <v>68</v>
      </c>
      <c r="C561">
        <v>39973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56F53-D18F-4CDA-B6EE-01DD7C756DC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4FFC37-48FA-4DD0-B1D3-D47A5C71C0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Fact_Financials_Master</vt:lpstr>
      <vt:lpstr>Fuel_Costs</vt:lpstr>
      <vt:lpstr>Operating_Income</vt:lpstr>
      <vt:lpstr>Operating_Revenue</vt:lpstr>
      <vt:lpstr>Load_Factor</vt:lpstr>
      <vt:lpstr>Net_Income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Ayman Ahmed Saleh Ahmed Ibrahim 2400577</dc:creator>
  <cp:lastModifiedBy>Ahmed Ayman Ahmed Saleh Ahmed Ibrahim 2400577</cp:lastModifiedBy>
  <dcterms:created xsi:type="dcterms:W3CDTF">2026-06-21T18:40:10Z</dcterms:created>
  <dcterms:modified xsi:type="dcterms:W3CDTF">2026-06-21T22:16:50Z</dcterms:modified>
</cp:coreProperties>
</file>